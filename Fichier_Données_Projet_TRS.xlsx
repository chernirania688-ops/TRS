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yper\Downloads\"/>
    </mc:Choice>
  </mc:AlternateContent>
  <xr:revisionPtr revIDLastSave="0" documentId="13_ncr:1_{C4956C23-2F9E-4BB5-9225-196A7CE38C8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écoupe" sheetId="1" r:id="rId1"/>
    <sheet name="Usinage" sheetId="2" r:id="rId2"/>
    <sheet name="Peinture" sheetId="3" r:id="rId3"/>
  </sheets>
  <definedNames>
    <definedName name="_xlnm._FilterDatabase" localSheetId="0" hidden="1">Découpe!$A$1:$X$254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3" l="1"/>
  <c r="U4" i="3" s="1"/>
  <c r="R36" i="3"/>
  <c r="U36" i="3" s="1"/>
  <c r="Q10" i="3"/>
  <c r="R10" i="3" s="1"/>
  <c r="U10" i="3" s="1"/>
  <c r="Q18" i="3"/>
  <c r="R18" i="3" s="1"/>
  <c r="U18" i="3" s="1"/>
  <c r="Q26" i="3"/>
  <c r="R26" i="3" s="1"/>
  <c r="U26" i="3" s="1"/>
  <c r="Q34" i="3"/>
  <c r="R34" i="3" s="1"/>
  <c r="U34" i="3" s="1"/>
  <c r="Q42" i="3"/>
  <c r="R42" i="3" s="1"/>
  <c r="U42" i="3" s="1"/>
  <c r="Q50" i="3"/>
  <c r="R50" i="3" s="1"/>
  <c r="U50" i="3" s="1"/>
  <c r="Q58" i="3"/>
  <c r="R58" i="3" s="1"/>
  <c r="U58" i="3" s="1"/>
  <c r="Q66" i="3"/>
  <c r="R66" i="3" s="1"/>
  <c r="U66" i="3" s="1"/>
  <c r="Q74" i="3"/>
  <c r="R74" i="3" s="1"/>
  <c r="U74" i="3" s="1"/>
  <c r="Q82" i="3"/>
  <c r="R82" i="3" s="1"/>
  <c r="U82" i="3" s="1"/>
  <c r="Q88" i="3"/>
  <c r="R88" i="3" s="1"/>
  <c r="U88" i="3" s="1"/>
  <c r="Q98" i="3"/>
  <c r="R98" i="3" s="1"/>
  <c r="U98" i="3" s="1"/>
  <c r="Q104" i="3"/>
  <c r="R104" i="3" s="1"/>
  <c r="U104" i="3" s="1"/>
  <c r="Q114" i="3"/>
  <c r="R114" i="3" s="1"/>
  <c r="U114" i="3" s="1"/>
  <c r="Q120" i="3"/>
  <c r="R120" i="3" s="1"/>
  <c r="U120" i="3" s="1"/>
  <c r="Q130" i="3"/>
  <c r="R130" i="3" s="1"/>
  <c r="U130" i="3" s="1"/>
  <c r="Q136" i="3"/>
  <c r="R136" i="3" s="1"/>
  <c r="U136" i="3" s="1"/>
  <c r="Q201" i="3"/>
  <c r="R201" i="3" s="1"/>
  <c r="U201" i="3" s="1"/>
  <c r="Q213" i="3"/>
  <c r="R213" i="3" s="1"/>
  <c r="U213" i="3" s="1"/>
  <c r="Q217" i="3"/>
  <c r="R217" i="3" s="1"/>
  <c r="U217" i="3" s="1"/>
  <c r="Q229" i="3"/>
  <c r="R229" i="3" s="1"/>
  <c r="U229" i="3" s="1"/>
  <c r="Q233" i="3"/>
  <c r="R233" i="3" s="1"/>
  <c r="U233" i="3" s="1"/>
  <c r="Q245" i="3"/>
  <c r="R245" i="3" s="1"/>
  <c r="U245" i="3" s="1"/>
  <c r="Q249" i="3"/>
  <c r="R249" i="3" s="1"/>
  <c r="U249" i="3" s="1"/>
  <c r="P251" i="3"/>
  <c r="Q251" i="3" s="1"/>
  <c r="R251" i="3" s="1"/>
  <c r="U251" i="3" s="1"/>
  <c r="P250" i="3"/>
  <c r="Q250" i="3" s="1"/>
  <c r="R250" i="3" s="1"/>
  <c r="U250" i="3" s="1"/>
  <c r="P249" i="3"/>
  <c r="P248" i="3"/>
  <c r="Q248" i="3" s="1"/>
  <c r="R248" i="3" s="1"/>
  <c r="U248" i="3" s="1"/>
  <c r="P247" i="3"/>
  <c r="Q247" i="3" s="1"/>
  <c r="R247" i="3" s="1"/>
  <c r="U247" i="3" s="1"/>
  <c r="P246" i="3"/>
  <c r="Q246" i="3" s="1"/>
  <c r="R246" i="3" s="1"/>
  <c r="U246" i="3" s="1"/>
  <c r="P245" i="3"/>
  <c r="P244" i="3"/>
  <c r="Q244" i="3" s="1"/>
  <c r="R244" i="3" s="1"/>
  <c r="U244" i="3" s="1"/>
  <c r="P243" i="3"/>
  <c r="Q243" i="3" s="1"/>
  <c r="R243" i="3" s="1"/>
  <c r="U243" i="3" s="1"/>
  <c r="P242" i="3"/>
  <c r="Q242" i="3" s="1"/>
  <c r="R242" i="3" s="1"/>
  <c r="U242" i="3" s="1"/>
  <c r="P241" i="3"/>
  <c r="P240" i="3"/>
  <c r="Q240" i="3" s="1"/>
  <c r="R240" i="3" s="1"/>
  <c r="U240" i="3" s="1"/>
  <c r="P239" i="3"/>
  <c r="Q239" i="3" s="1"/>
  <c r="R239" i="3" s="1"/>
  <c r="U239" i="3" s="1"/>
  <c r="P238" i="3"/>
  <c r="Q238" i="3" s="1"/>
  <c r="R238" i="3" s="1"/>
  <c r="U238" i="3" s="1"/>
  <c r="P237" i="3"/>
  <c r="P236" i="3"/>
  <c r="Q236" i="3" s="1"/>
  <c r="R236" i="3" s="1"/>
  <c r="U236" i="3" s="1"/>
  <c r="P235" i="3"/>
  <c r="Q235" i="3" s="1"/>
  <c r="R235" i="3" s="1"/>
  <c r="U235" i="3" s="1"/>
  <c r="P234" i="3"/>
  <c r="Q234" i="3" s="1"/>
  <c r="R234" i="3" s="1"/>
  <c r="U234" i="3" s="1"/>
  <c r="P233" i="3"/>
  <c r="P232" i="3"/>
  <c r="Q232" i="3" s="1"/>
  <c r="R232" i="3" s="1"/>
  <c r="U232" i="3" s="1"/>
  <c r="P231" i="3"/>
  <c r="Q231" i="3" s="1"/>
  <c r="R231" i="3" s="1"/>
  <c r="U231" i="3" s="1"/>
  <c r="P230" i="3"/>
  <c r="Q230" i="3" s="1"/>
  <c r="R230" i="3" s="1"/>
  <c r="U230" i="3" s="1"/>
  <c r="P229" i="3"/>
  <c r="P228" i="3"/>
  <c r="Q228" i="3" s="1"/>
  <c r="R228" i="3" s="1"/>
  <c r="U228" i="3" s="1"/>
  <c r="P227" i="3"/>
  <c r="Q227" i="3" s="1"/>
  <c r="R227" i="3" s="1"/>
  <c r="U227" i="3" s="1"/>
  <c r="P226" i="3"/>
  <c r="Q226" i="3" s="1"/>
  <c r="R226" i="3" s="1"/>
  <c r="U226" i="3" s="1"/>
  <c r="P225" i="3"/>
  <c r="P224" i="3"/>
  <c r="Q224" i="3" s="1"/>
  <c r="R224" i="3" s="1"/>
  <c r="U224" i="3" s="1"/>
  <c r="P223" i="3"/>
  <c r="Q223" i="3" s="1"/>
  <c r="R223" i="3" s="1"/>
  <c r="U223" i="3" s="1"/>
  <c r="P222" i="3"/>
  <c r="Q222" i="3" s="1"/>
  <c r="R222" i="3" s="1"/>
  <c r="U222" i="3" s="1"/>
  <c r="P221" i="3"/>
  <c r="P220" i="3"/>
  <c r="Q220" i="3" s="1"/>
  <c r="R220" i="3" s="1"/>
  <c r="U220" i="3" s="1"/>
  <c r="P219" i="3"/>
  <c r="Q219" i="3" s="1"/>
  <c r="R219" i="3" s="1"/>
  <c r="U219" i="3" s="1"/>
  <c r="P218" i="3"/>
  <c r="Q218" i="3" s="1"/>
  <c r="R218" i="3" s="1"/>
  <c r="U218" i="3" s="1"/>
  <c r="P217" i="3"/>
  <c r="P216" i="3"/>
  <c r="Q216" i="3" s="1"/>
  <c r="R216" i="3" s="1"/>
  <c r="U216" i="3" s="1"/>
  <c r="P215" i="3"/>
  <c r="Q215" i="3" s="1"/>
  <c r="R215" i="3" s="1"/>
  <c r="U215" i="3" s="1"/>
  <c r="P214" i="3"/>
  <c r="Q214" i="3" s="1"/>
  <c r="R214" i="3" s="1"/>
  <c r="U214" i="3" s="1"/>
  <c r="P213" i="3"/>
  <c r="P212" i="3"/>
  <c r="Q212" i="3" s="1"/>
  <c r="R212" i="3" s="1"/>
  <c r="U212" i="3" s="1"/>
  <c r="P211" i="3"/>
  <c r="Q211" i="3" s="1"/>
  <c r="R211" i="3" s="1"/>
  <c r="U211" i="3" s="1"/>
  <c r="P210" i="3"/>
  <c r="Q210" i="3" s="1"/>
  <c r="R210" i="3" s="1"/>
  <c r="U210" i="3" s="1"/>
  <c r="P209" i="3"/>
  <c r="P208" i="3"/>
  <c r="Q208" i="3" s="1"/>
  <c r="R208" i="3" s="1"/>
  <c r="U208" i="3" s="1"/>
  <c r="P207" i="3"/>
  <c r="Q207" i="3" s="1"/>
  <c r="R207" i="3" s="1"/>
  <c r="U207" i="3" s="1"/>
  <c r="P206" i="3"/>
  <c r="Q206" i="3" s="1"/>
  <c r="R206" i="3" s="1"/>
  <c r="U206" i="3" s="1"/>
  <c r="P205" i="3"/>
  <c r="P204" i="3"/>
  <c r="Q204" i="3" s="1"/>
  <c r="R204" i="3" s="1"/>
  <c r="U204" i="3" s="1"/>
  <c r="P203" i="3"/>
  <c r="Q203" i="3" s="1"/>
  <c r="R203" i="3" s="1"/>
  <c r="U203" i="3" s="1"/>
  <c r="P202" i="3"/>
  <c r="Q202" i="3" s="1"/>
  <c r="R202" i="3" s="1"/>
  <c r="U202" i="3" s="1"/>
  <c r="P201" i="3"/>
  <c r="P200" i="3"/>
  <c r="Q200" i="3" s="1"/>
  <c r="R200" i="3" s="1"/>
  <c r="U200" i="3" s="1"/>
  <c r="P199" i="3"/>
  <c r="Q199" i="3" s="1"/>
  <c r="R199" i="3" s="1"/>
  <c r="U199" i="3" s="1"/>
  <c r="P198" i="3"/>
  <c r="Q198" i="3" s="1"/>
  <c r="R198" i="3" s="1"/>
  <c r="U198" i="3" s="1"/>
  <c r="P197" i="3"/>
  <c r="P196" i="3"/>
  <c r="Q196" i="3" s="1"/>
  <c r="R196" i="3" s="1"/>
  <c r="U196" i="3" s="1"/>
  <c r="P195" i="3"/>
  <c r="Q195" i="3" s="1"/>
  <c r="R195" i="3" s="1"/>
  <c r="U195" i="3" s="1"/>
  <c r="P194" i="3"/>
  <c r="Q194" i="3" s="1"/>
  <c r="R194" i="3" s="1"/>
  <c r="U194" i="3" s="1"/>
  <c r="P193" i="3"/>
  <c r="P192" i="3"/>
  <c r="Q192" i="3" s="1"/>
  <c r="R192" i="3" s="1"/>
  <c r="U192" i="3" s="1"/>
  <c r="P191" i="3"/>
  <c r="Q191" i="3" s="1"/>
  <c r="R191" i="3" s="1"/>
  <c r="U191" i="3" s="1"/>
  <c r="P190" i="3"/>
  <c r="Q190" i="3" s="1"/>
  <c r="R190" i="3" s="1"/>
  <c r="U190" i="3" s="1"/>
  <c r="P189" i="3"/>
  <c r="P188" i="3"/>
  <c r="Q188" i="3" s="1"/>
  <c r="R188" i="3" s="1"/>
  <c r="U188" i="3" s="1"/>
  <c r="P187" i="3"/>
  <c r="Q187" i="3" s="1"/>
  <c r="R187" i="3" s="1"/>
  <c r="U187" i="3" s="1"/>
  <c r="P186" i="3"/>
  <c r="Q186" i="3" s="1"/>
  <c r="R186" i="3" s="1"/>
  <c r="U186" i="3" s="1"/>
  <c r="P185" i="3"/>
  <c r="P184" i="3"/>
  <c r="Q184" i="3" s="1"/>
  <c r="R184" i="3" s="1"/>
  <c r="U184" i="3" s="1"/>
  <c r="P183" i="3"/>
  <c r="Q183" i="3" s="1"/>
  <c r="R183" i="3" s="1"/>
  <c r="U183" i="3" s="1"/>
  <c r="P182" i="3"/>
  <c r="Q182" i="3" s="1"/>
  <c r="R182" i="3" s="1"/>
  <c r="U182" i="3" s="1"/>
  <c r="P181" i="3"/>
  <c r="P180" i="3"/>
  <c r="Q180" i="3" s="1"/>
  <c r="R180" i="3" s="1"/>
  <c r="U180" i="3" s="1"/>
  <c r="P179" i="3"/>
  <c r="Q179" i="3" s="1"/>
  <c r="R179" i="3" s="1"/>
  <c r="U179" i="3" s="1"/>
  <c r="P178" i="3"/>
  <c r="Q178" i="3" s="1"/>
  <c r="R178" i="3" s="1"/>
  <c r="U178" i="3" s="1"/>
  <c r="P177" i="3"/>
  <c r="P176" i="3"/>
  <c r="Q176" i="3" s="1"/>
  <c r="R176" i="3" s="1"/>
  <c r="U176" i="3" s="1"/>
  <c r="P175" i="3"/>
  <c r="Q175" i="3" s="1"/>
  <c r="R175" i="3" s="1"/>
  <c r="U175" i="3" s="1"/>
  <c r="P174" i="3"/>
  <c r="Q174" i="3" s="1"/>
  <c r="R174" i="3" s="1"/>
  <c r="U174" i="3" s="1"/>
  <c r="P173" i="3"/>
  <c r="P172" i="3"/>
  <c r="Q172" i="3" s="1"/>
  <c r="R172" i="3" s="1"/>
  <c r="U172" i="3" s="1"/>
  <c r="P171" i="3"/>
  <c r="Q171" i="3" s="1"/>
  <c r="R171" i="3" s="1"/>
  <c r="U171" i="3" s="1"/>
  <c r="P170" i="3"/>
  <c r="Q170" i="3" s="1"/>
  <c r="R170" i="3" s="1"/>
  <c r="U170" i="3" s="1"/>
  <c r="P169" i="3"/>
  <c r="P168" i="3"/>
  <c r="Q168" i="3" s="1"/>
  <c r="R168" i="3" s="1"/>
  <c r="U168" i="3" s="1"/>
  <c r="P167" i="3"/>
  <c r="Q167" i="3" s="1"/>
  <c r="R167" i="3" s="1"/>
  <c r="U167" i="3" s="1"/>
  <c r="P166" i="3"/>
  <c r="Q166" i="3" s="1"/>
  <c r="R166" i="3" s="1"/>
  <c r="U166" i="3" s="1"/>
  <c r="P165" i="3"/>
  <c r="P164" i="3"/>
  <c r="Q164" i="3" s="1"/>
  <c r="R164" i="3" s="1"/>
  <c r="U164" i="3" s="1"/>
  <c r="P163" i="3"/>
  <c r="Q163" i="3" s="1"/>
  <c r="R163" i="3" s="1"/>
  <c r="U163" i="3" s="1"/>
  <c r="P162" i="3"/>
  <c r="Q162" i="3" s="1"/>
  <c r="R162" i="3" s="1"/>
  <c r="U162" i="3" s="1"/>
  <c r="P161" i="3"/>
  <c r="P160" i="3"/>
  <c r="Q160" i="3" s="1"/>
  <c r="R160" i="3" s="1"/>
  <c r="U160" i="3" s="1"/>
  <c r="P159" i="3"/>
  <c r="Q159" i="3" s="1"/>
  <c r="R159" i="3" s="1"/>
  <c r="U159" i="3" s="1"/>
  <c r="P158" i="3"/>
  <c r="Q158" i="3" s="1"/>
  <c r="R158" i="3" s="1"/>
  <c r="U158" i="3" s="1"/>
  <c r="P157" i="3"/>
  <c r="P156" i="3"/>
  <c r="Q156" i="3" s="1"/>
  <c r="R156" i="3" s="1"/>
  <c r="U156" i="3" s="1"/>
  <c r="P155" i="3"/>
  <c r="Q155" i="3" s="1"/>
  <c r="R155" i="3" s="1"/>
  <c r="U155" i="3" s="1"/>
  <c r="P154" i="3"/>
  <c r="Q154" i="3" s="1"/>
  <c r="R154" i="3" s="1"/>
  <c r="U154" i="3" s="1"/>
  <c r="P153" i="3"/>
  <c r="P152" i="3"/>
  <c r="Q152" i="3" s="1"/>
  <c r="R152" i="3" s="1"/>
  <c r="U152" i="3" s="1"/>
  <c r="P151" i="3"/>
  <c r="Q151" i="3" s="1"/>
  <c r="R151" i="3" s="1"/>
  <c r="U151" i="3" s="1"/>
  <c r="P150" i="3"/>
  <c r="Q150" i="3" s="1"/>
  <c r="R150" i="3" s="1"/>
  <c r="U150" i="3" s="1"/>
  <c r="P149" i="3"/>
  <c r="P148" i="3"/>
  <c r="Q148" i="3" s="1"/>
  <c r="R148" i="3" s="1"/>
  <c r="U148" i="3" s="1"/>
  <c r="P147" i="3"/>
  <c r="Q147" i="3" s="1"/>
  <c r="R147" i="3" s="1"/>
  <c r="U147" i="3" s="1"/>
  <c r="P146" i="3"/>
  <c r="Q146" i="3" s="1"/>
  <c r="R146" i="3" s="1"/>
  <c r="U146" i="3" s="1"/>
  <c r="P145" i="3"/>
  <c r="P144" i="3"/>
  <c r="Q144" i="3" s="1"/>
  <c r="R144" i="3" s="1"/>
  <c r="U144" i="3" s="1"/>
  <c r="P143" i="3"/>
  <c r="Q143" i="3" s="1"/>
  <c r="R143" i="3" s="1"/>
  <c r="U143" i="3" s="1"/>
  <c r="P142" i="3"/>
  <c r="Q142" i="3" s="1"/>
  <c r="R142" i="3" s="1"/>
  <c r="U142" i="3" s="1"/>
  <c r="P141" i="3"/>
  <c r="P140" i="3"/>
  <c r="Q140" i="3" s="1"/>
  <c r="R140" i="3" s="1"/>
  <c r="U140" i="3" s="1"/>
  <c r="P139" i="3"/>
  <c r="Q139" i="3" s="1"/>
  <c r="R139" i="3" s="1"/>
  <c r="U139" i="3" s="1"/>
  <c r="P138" i="3"/>
  <c r="Q138" i="3" s="1"/>
  <c r="R138" i="3" s="1"/>
  <c r="U138" i="3" s="1"/>
  <c r="P137" i="3"/>
  <c r="P136" i="3"/>
  <c r="P135" i="3"/>
  <c r="Q135" i="3" s="1"/>
  <c r="R135" i="3" s="1"/>
  <c r="U135" i="3" s="1"/>
  <c r="P134" i="3"/>
  <c r="P133" i="3"/>
  <c r="P132" i="3"/>
  <c r="Q132" i="3" s="1"/>
  <c r="R132" i="3" s="1"/>
  <c r="U132" i="3" s="1"/>
  <c r="P131" i="3"/>
  <c r="Q131" i="3" s="1"/>
  <c r="R131" i="3" s="1"/>
  <c r="U131" i="3" s="1"/>
  <c r="P130" i="3"/>
  <c r="P129" i="3"/>
  <c r="P128" i="3"/>
  <c r="Q128" i="3" s="1"/>
  <c r="R128" i="3" s="1"/>
  <c r="U128" i="3" s="1"/>
  <c r="P127" i="3"/>
  <c r="Q127" i="3" s="1"/>
  <c r="R127" i="3" s="1"/>
  <c r="U127" i="3" s="1"/>
  <c r="P126" i="3"/>
  <c r="Q126" i="3" s="1"/>
  <c r="R126" i="3" s="1"/>
  <c r="U126" i="3" s="1"/>
  <c r="P125" i="3"/>
  <c r="P124" i="3"/>
  <c r="Q124" i="3" s="1"/>
  <c r="R124" i="3" s="1"/>
  <c r="U124" i="3" s="1"/>
  <c r="P123" i="3"/>
  <c r="Q123" i="3" s="1"/>
  <c r="R123" i="3" s="1"/>
  <c r="U123" i="3" s="1"/>
  <c r="P122" i="3"/>
  <c r="Q122" i="3" s="1"/>
  <c r="R122" i="3" s="1"/>
  <c r="U122" i="3" s="1"/>
  <c r="P121" i="3"/>
  <c r="P120" i="3"/>
  <c r="P119" i="3"/>
  <c r="Q119" i="3" s="1"/>
  <c r="R119" i="3" s="1"/>
  <c r="U119" i="3" s="1"/>
  <c r="P118" i="3"/>
  <c r="P117" i="3"/>
  <c r="P116" i="3"/>
  <c r="Q116" i="3" s="1"/>
  <c r="R116" i="3" s="1"/>
  <c r="U116" i="3" s="1"/>
  <c r="P115" i="3"/>
  <c r="Q115" i="3" s="1"/>
  <c r="R115" i="3" s="1"/>
  <c r="U115" i="3" s="1"/>
  <c r="P114" i="3"/>
  <c r="P113" i="3"/>
  <c r="P112" i="3"/>
  <c r="Q112" i="3" s="1"/>
  <c r="R112" i="3" s="1"/>
  <c r="U112" i="3" s="1"/>
  <c r="P111" i="3"/>
  <c r="Q111" i="3" s="1"/>
  <c r="R111" i="3" s="1"/>
  <c r="U111" i="3" s="1"/>
  <c r="P110" i="3"/>
  <c r="Q110" i="3" s="1"/>
  <c r="R110" i="3" s="1"/>
  <c r="U110" i="3" s="1"/>
  <c r="P109" i="3"/>
  <c r="P108" i="3"/>
  <c r="Q108" i="3" s="1"/>
  <c r="R108" i="3" s="1"/>
  <c r="U108" i="3" s="1"/>
  <c r="P107" i="3"/>
  <c r="Q107" i="3" s="1"/>
  <c r="R107" i="3" s="1"/>
  <c r="U107" i="3" s="1"/>
  <c r="P106" i="3"/>
  <c r="Q106" i="3" s="1"/>
  <c r="R106" i="3" s="1"/>
  <c r="U106" i="3" s="1"/>
  <c r="P105" i="3"/>
  <c r="P104" i="3"/>
  <c r="P103" i="3"/>
  <c r="Q103" i="3" s="1"/>
  <c r="R103" i="3" s="1"/>
  <c r="U103" i="3" s="1"/>
  <c r="P102" i="3"/>
  <c r="P101" i="3"/>
  <c r="P100" i="3"/>
  <c r="Q100" i="3" s="1"/>
  <c r="R100" i="3" s="1"/>
  <c r="U100" i="3" s="1"/>
  <c r="P99" i="3"/>
  <c r="Q99" i="3" s="1"/>
  <c r="R99" i="3" s="1"/>
  <c r="U99" i="3" s="1"/>
  <c r="P98" i="3"/>
  <c r="P97" i="3"/>
  <c r="P96" i="3"/>
  <c r="Q96" i="3" s="1"/>
  <c r="R96" i="3" s="1"/>
  <c r="U96" i="3" s="1"/>
  <c r="P95" i="3"/>
  <c r="Q95" i="3" s="1"/>
  <c r="R95" i="3" s="1"/>
  <c r="U95" i="3" s="1"/>
  <c r="P94" i="3"/>
  <c r="Q94" i="3" s="1"/>
  <c r="R94" i="3" s="1"/>
  <c r="U94" i="3" s="1"/>
  <c r="P93" i="3"/>
  <c r="P92" i="3"/>
  <c r="Q92" i="3" s="1"/>
  <c r="R92" i="3" s="1"/>
  <c r="U92" i="3" s="1"/>
  <c r="P91" i="3"/>
  <c r="Q91" i="3" s="1"/>
  <c r="R91" i="3" s="1"/>
  <c r="U91" i="3" s="1"/>
  <c r="P90" i="3"/>
  <c r="Q90" i="3" s="1"/>
  <c r="R90" i="3" s="1"/>
  <c r="U90" i="3" s="1"/>
  <c r="P89" i="3"/>
  <c r="P88" i="3"/>
  <c r="P87" i="3"/>
  <c r="Q87" i="3" s="1"/>
  <c r="R87" i="3" s="1"/>
  <c r="U87" i="3" s="1"/>
  <c r="P86" i="3"/>
  <c r="P85" i="3"/>
  <c r="P84" i="3"/>
  <c r="Q84" i="3" s="1"/>
  <c r="R84" i="3" s="1"/>
  <c r="U84" i="3" s="1"/>
  <c r="P83" i="3"/>
  <c r="Q83" i="3" s="1"/>
  <c r="R83" i="3" s="1"/>
  <c r="U83" i="3" s="1"/>
  <c r="P82" i="3"/>
  <c r="P81" i="3"/>
  <c r="P80" i="3"/>
  <c r="Q80" i="3" s="1"/>
  <c r="R80" i="3" s="1"/>
  <c r="U80" i="3" s="1"/>
  <c r="P79" i="3"/>
  <c r="Q79" i="3" s="1"/>
  <c r="R79" i="3" s="1"/>
  <c r="U79" i="3" s="1"/>
  <c r="P78" i="3"/>
  <c r="Q78" i="3" s="1"/>
  <c r="R78" i="3" s="1"/>
  <c r="U78" i="3" s="1"/>
  <c r="P77" i="3"/>
  <c r="Q77" i="3" s="1"/>
  <c r="R77" i="3" s="1"/>
  <c r="U77" i="3" s="1"/>
  <c r="P76" i="3"/>
  <c r="Q76" i="3" s="1"/>
  <c r="R76" i="3" s="1"/>
  <c r="U76" i="3" s="1"/>
  <c r="P75" i="3"/>
  <c r="Q75" i="3" s="1"/>
  <c r="R75" i="3" s="1"/>
  <c r="U75" i="3" s="1"/>
  <c r="P74" i="3"/>
  <c r="P73" i="3"/>
  <c r="P72" i="3"/>
  <c r="Q72" i="3" s="1"/>
  <c r="R72" i="3" s="1"/>
  <c r="U72" i="3" s="1"/>
  <c r="P71" i="3"/>
  <c r="Q71" i="3" s="1"/>
  <c r="R71" i="3" s="1"/>
  <c r="U71" i="3" s="1"/>
  <c r="P70" i="3"/>
  <c r="Q70" i="3" s="1"/>
  <c r="R70" i="3" s="1"/>
  <c r="U70" i="3" s="1"/>
  <c r="P69" i="3"/>
  <c r="Q69" i="3" s="1"/>
  <c r="R69" i="3" s="1"/>
  <c r="U69" i="3" s="1"/>
  <c r="P68" i="3"/>
  <c r="Q68" i="3" s="1"/>
  <c r="R68" i="3" s="1"/>
  <c r="U68" i="3" s="1"/>
  <c r="P67" i="3"/>
  <c r="Q67" i="3" s="1"/>
  <c r="R67" i="3" s="1"/>
  <c r="U67" i="3" s="1"/>
  <c r="P66" i="3"/>
  <c r="P65" i="3"/>
  <c r="P64" i="3"/>
  <c r="Q64" i="3" s="1"/>
  <c r="R64" i="3" s="1"/>
  <c r="U64" i="3" s="1"/>
  <c r="P63" i="3"/>
  <c r="Q63" i="3" s="1"/>
  <c r="R63" i="3" s="1"/>
  <c r="U63" i="3" s="1"/>
  <c r="P62" i="3"/>
  <c r="Q62" i="3" s="1"/>
  <c r="R62" i="3" s="1"/>
  <c r="U62" i="3" s="1"/>
  <c r="P61" i="3"/>
  <c r="Q61" i="3" s="1"/>
  <c r="R61" i="3" s="1"/>
  <c r="U61" i="3" s="1"/>
  <c r="P60" i="3"/>
  <c r="Q60" i="3" s="1"/>
  <c r="R60" i="3" s="1"/>
  <c r="U60" i="3" s="1"/>
  <c r="P59" i="3"/>
  <c r="Q59" i="3" s="1"/>
  <c r="R59" i="3" s="1"/>
  <c r="U59" i="3" s="1"/>
  <c r="P58" i="3"/>
  <c r="P57" i="3"/>
  <c r="P56" i="3"/>
  <c r="Q56" i="3" s="1"/>
  <c r="R56" i="3" s="1"/>
  <c r="U56" i="3" s="1"/>
  <c r="P55" i="3"/>
  <c r="Q55" i="3" s="1"/>
  <c r="R55" i="3" s="1"/>
  <c r="U55" i="3" s="1"/>
  <c r="P54" i="3"/>
  <c r="Q54" i="3" s="1"/>
  <c r="R54" i="3" s="1"/>
  <c r="U54" i="3" s="1"/>
  <c r="P53" i="3"/>
  <c r="Q53" i="3" s="1"/>
  <c r="R53" i="3" s="1"/>
  <c r="U53" i="3" s="1"/>
  <c r="P52" i="3"/>
  <c r="Q52" i="3" s="1"/>
  <c r="R52" i="3" s="1"/>
  <c r="U52" i="3" s="1"/>
  <c r="P51" i="3"/>
  <c r="Q51" i="3" s="1"/>
  <c r="R51" i="3" s="1"/>
  <c r="U51" i="3" s="1"/>
  <c r="P50" i="3"/>
  <c r="P49" i="3"/>
  <c r="P48" i="3"/>
  <c r="Q48" i="3" s="1"/>
  <c r="R48" i="3" s="1"/>
  <c r="U48" i="3" s="1"/>
  <c r="P47" i="3"/>
  <c r="Q47" i="3" s="1"/>
  <c r="R47" i="3" s="1"/>
  <c r="U47" i="3" s="1"/>
  <c r="P46" i="3"/>
  <c r="Q46" i="3" s="1"/>
  <c r="R46" i="3" s="1"/>
  <c r="U46" i="3" s="1"/>
  <c r="P45" i="3"/>
  <c r="Q45" i="3" s="1"/>
  <c r="R45" i="3" s="1"/>
  <c r="U45" i="3" s="1"/>
  <c r="P44" i="3"/>
  <c r="Q44" i="3" s="1"/>
  <c r="R44" i="3" s="1"/>
  <c r="U44" i="3" s="1"/>
  <c r="P43" i="3"/>
  <c r="Q43" i="3" s="1"/>
  <c r="R43" i="3" s="1"/>
  <c r="U43" i="3" s="1"/>
  <c r="P42" i="3"/>
  <c r="P41" i="3"/>
  <c r="P40" i="3"/>
  <c r="Q40" i="3" s="1"/>
  <c r="R40" i="3" s="1"/>
  <c r="U40" i="3" s="1"/>
  <c r="P39" i="3"/>
  <c r="Q39" i="3" s="1"/>
  <c r="R39" i="3" s="1"/>
  <c r="U39" i="3" s="1"/>
  <c r="P38" i="3"/>
  <c r="Q38" i="3" s="1"/>
  <c r="R38" i="3" s="1"/>
  <c r="U38" i="3" s="1"/>
  <c r="P37" i="3"/>
  <c r="Q37" i="3" s="1"/>
  <c r="R37" i="3" s="1"/>
  <c r="U37" i="3" s="1"/>
  <c r="P36" i="3"/>
  <c r="Q36" i="3" s="1"/>
  <c r="P35" i="3"/>
  <c r="Q35" i="3" s="1"/>
  <c r="R35" i="3" s="1"/>
  <c r="U35" i="3" s="1"/>
  <c r="P34" i="3"/>
  <c r="P33" i="3"/>
  <c r="P32" i="3"/>
  <c r="Q32" i="3" s="1"/>
  <c r="R32" i="3" s="1"/>
  <c r="U32" i="3" s="1"/>
  <c r="P31" i="3"/>
  <c r="Q31" i="3" s="1"/>
  <c r="R31" i="3" s="1"/>
  <c r="U31" i="3" s="1"/>
  <c r="P30" i="3"/>
  <c r="Q30" i="3" s="1"/>
  <c r="R30" i="3" s="1"/>
  <c r="U30" i="3" s="1"/>
  <c r="P29" i="3"/>
  <c r="Q29" i="3" s="1"/>
  <c r="R29" i="3" s="1"/>
  <c r="U29" i="3" s="1"/>
  <c r="P28" i="3"/>
  <c r="Q28" i="3" s="1"/>
  <c r="R28" i="3" s="1"/>
  <c r="U28" i="3" s="1"/>
  <c r="P27" i="3"/>
  <c r="Q27" i="3" s="1"/>
  <c r="R27" i="3" s="1"/>
  <c r="U27" i="3" s="1"/>
  <c r="P26" i="3"/>
  <c r="P25" i="3"/>
  <c r="P24" i="3"/>
  <c r="Q24" i="3" s="1"/>
  <c r="R24" i="3" s="1"/>
  <c r="U24" i="3" s="1"/>
  <c r="P23" i="3"/>
  <c r="Q23" i="3" s="1"/>
  <c r="R23" i="3" s="1"/>
  <c r="U23" i="3" s="1"/>
  <c r="P22" i="3"/>
  <c r="Q22" i="3" s="1"/>
  <c r="R22" i="3" s="1"/>
  <c r="U22" i="3" s="1"/>
  <c r="P21" i="3"/>
  <c r="Q21" i="3" s="1"/>
  <c r="R21" i="3" s="1"/>
  <c r="U21" i="3" s="1"/>
  <c r="P20" i="3"/>
  <c r="Q20" i="3" s="1"/>
  <c r="R20" i="3" s="1"/>
  <c r="U20" i="3" s="1"/>
  <c r="P19" i="3"/>
  <c r="Q19" i="3" s="1"/>
  <c r="R19" i="3" s="1"/>
  <c r="U19" i="3" s="1"/>
  <c r="P18" i="3"/>
  <c r="P17" i="3"/>
  <c r="P16" i="3"/>
  <c r="Q16" i="3" s="1"/>
  <c r="R16" i="3" s="1"/>
  <c r="U16" i="3" s="1"/>
  <c r="P15" i="3"/>
  <c r="Q15" i="3" s="1"/>
  <c r="R15" i="3" s="1"/>
  <c r="U15" i="3" s="1"/>
  <c r="P14" i="3"/>
  <c r="Q14" i="3" s="1"/>
  <c r="R14" i="3" s="1"/>
  <c r="U14" i="3" s="1"/>
  <c r="P13" i="3"/>
  <c r="Q13" i="3" s="1"/>
  <c r="R13" i="3" s="1"/>
  <c r="U13" i="3" s="1"/>
  <c r="P12" i="3"/>
  <c r="Q12" i="3" s="1"/>
  <c r="R12" i="3" s="1"/>
  <c r="U12" i="3" s="1"/>
  <c r="P11" i="3"/>
  <c r="Q11" i="3" s="1"/>
  <c r="R11" i="3" s="1"/>
  <c r="U11" i="3" s="1"/>
  <c r="P10" i="3"/>
  <c r="P9" i="3"/>
  <c r="P8" i="3"/>
  <c r="Q8" i="3" s="1"/>
  <c r="R8" i="3" s="1"/>
  <c r="U8" i="3" s="1"/>
  <c r="P7" i="3"/>
  <c r="Q7" i="3" s="1"/>
  <c r="R7" i="3" s="1"/>
  <c r="U7" i="3" s="1"/>
  <c r="P6" i="3"/>
  <c r="Q6" i="3" s="1"/>
  <c r="R6" i="3" s="1"/>
  <c r="U6" i="3" s="1"/>
  <c r="P5" i="3"/>
  <c r="Q5" i="3" s="1"/>
  <c r="R5" i="3" s="1"/>
  <c r="U5" i="3" s="1"/>
  <c r="P4" i="3"/>
  <c r="Q4" i="3" s="1"/>
  <c r="P3" i="3"/>
  <c r="Q3" i="3" s="1"/>
  <c r="R3" i="3" s="1"/>
  <c r="U3" i="3" s="1"/>
  <c r="P2" i="3"/>
  <c r="O251" i="3"/>
  <c r="O250" i="3"/>
  <c r="O249" i="3"/>
  <c r="O248" i="3"/>
  <c r="O247" i="3"/>
  <c r="O246" i="3"/>
  <c r="O245" i="3"/>
  <c r="O244" i="3"/>
  <c r="O243" i="3"/>
  <c r="O242" i="3"/>
  <c r="O241" i="3"/>
  <c r="Q241" i="3" s="1"/>
  <c r="R241" i="3" s="1"/>
  <c r="U241" i="3" s="1"/>
  <c r="O240" i="3"/>
  <c r="O239" i="3"/>
  <c r="O238" i="3"/>
  <c r="O237" i="3"/>
  <c r="Q237" i="3" s="1"/>
  <c r="R237" i="3" s="1"/>
  <c r="U237" i="3" s="1"/>
  <c r="O236" i="3"/>
  <c r="O235" i="3"/>
  <c r="O234" i="3"/>
  <c r="O233" i="3"/>
  <c r="O232" i="3"/>
  <c r="O231" i="3"/>
  <c r="O230" i="3"/>
  <c r="O229" i="3"/>
  <c r="O228" i="3"/>
  <c r="O227" i="3"/>
  <c r="O226" i="3"/>
  <c r="O225" i="3"/>
  <c r="Q225" i="3" s="1"/>
  <c r="R225" i="3" s="1"/>
  <c r="U225" i="3" s="1"/>
  <c r="O224" i="3"/>
  <c r="O223" i="3"/>
  <c r="O222" i="3"/>
  <c r="O221" i="3"/>
  <c r="Q221" i="3" s="1"/>
  <c r="R221" i="3" s="1"/>
  <c r="U221" i="3" s="1"/>
  <c r="O220" i="3"/>
  <c r="O219" i="3"/>
  <c r="O218" i="3"/>
  <c r="O217" i="3"/>
  <c r="O216" i="3"/>
  <c r="O215" i="3"/>
  <c r="O214" i="3"/>
  <c r="O213" i="3"/>
  <c r="O212" i="3"/>
  <c r="O211" i="3"/>
  <c r="O210" i="3"/>
  <c r="O209" i="3"/>
  <c r="Q209" i="3" s="1"/>
  <c r="R209" i="3" s="1"/>
  <c r="U209" i="3" s="1"/>
  <c r="O208" i="3"/>
  <c r="O207" i="3"/>
  <c r="O206" i="3"/>
  <c r="O205" i="3"/>
  <c r="Q205" i="3" s="1"/>
  <c r="R205" i="3" s="1"/>
  <c r="U205" i="3" s="1"/>
  <c r="O204" i="3"/>
  <c r="O203" i="3"/>
  <c r="O202" i="3"/>
  <c r="O201" i="3"/>
  <c r="O200" i="3"/>
  <c r="O199" i="3"/>
  <c r="O198" i="3"/>
  <c r="O197" i="3"/>
  <c r="Q197" i="3" s="1"/>
  <c r="R197" i="3" s="1"/>
  <c r="U197" i="3" s="1"/>
  <c r="O196" i="3"/>
  <c r="O195" i="3"/>
  <c r="O194" i="3"/>
  <c r="O193" i="3"/>
  <c r="Q193" i="3" s="1"/>
  <c r="R193" i="3" s="1"/>
  <c r="U193" i="3" s="1"/>
  <c r="O192" i="3"/>
  <c r="O191" i="3"/>
  <c r="O190" i="3"/>
  <c r="O189" i="3"/>
  <c r="Q189" i="3" s="1"/>
  <c r="R189" i="3" s="1"/>
  <c r="U189" i="3" s="1"/>
  <c r="O188" i="3"/>
  <c r="O187" i="3"/>
  <c r="O186" i="3"/>
  <c r="O185" i="3"/>
  <c r="Q185" i="3" s="1"/>
  <c r="R185" i="3" s="1"/>
  <c r="U185" i="3" s="1"/>
  <c r="O184" i="3"/>
  <c r="O183" i="3"/>
  <c r="O182" i="3"/>
  <c r="O181" i="3"/>
  <c r="Q181" i="3" s="1"/>
  <c r="R181" i="3" s="1"/>
  <c r="U181" i="3" s="1"/>
  <c r="O180" i="3"/>
  <c r="O179" i="3"/>
  <c r="O178" i="3"/>
  <c r="O177" i="3"/>
  <c r="Q177" i="3" s="1"/>
  <c r="R177" i="3" s="1"/>
  <c r="U177" i="3" s="1"/>
  <c r="O176" i="3"/>
  <c r="O175" i="3"/>
  <c r="O174" i="3"/>
  <c r="O173" i="3"/>
  <c r="Q173" i="3" s="1"/>
  <c r="R173" i="3" s="1"/>
  <c r="U173" i="3" s="1"/>
  <c r="O172" i="3"/>
  <c r="O171" i="3"/>
  <c r="O170" i="3"/>
  <c r="O169" i="3"/>
  <c r="Q169" i="3" s="1"/>
  <c r="R169" i="3" s="1"/>
  <c r="U169" i="3" s="1"/>
  <c r="O168" i="3"/>
  <c r="O167" i="3"/>
  <c r="O166" i="3"/>
  <c r="O165" i="3"/>
  <c r="Q165" i="3" s="1"/>
  <c r="R165" i="3" s="1"/>
  <c r="U165" i="3" s="1"/>
  <c r="O164" i="3"/>
  <c r="O163" i="3"/>
  <c r="O162" i="3"/>
  <c r="O161" i="3"/>
  <c r="Q161" i="3" s="1"/>
  <c r="R161" i="3" s="1"/>
  <c r="U161" i="3" s="1"/>
  <c r="O160" i="3"/>
  <c r="O159" i="3"/>
  <c r="O158" i="3"/>
  <c r="O157" i="3"/>
  <c r="Q157" i="3" s="1"/>
  <c r="R157" i="3" s="1"/>
  <c r="U157" i="3" s="1"/>
  <c r="O156" i="3"/>
  <c r="O155" i="3"/>
  <c r="O154" i="3"/>
  <c r="O153" i="3"/>
  <c r="Q153" i="3" s="1"/>
  <c r="R153" i="3" s="1"/>
  <c r="U153" i="3" s="1"/>
  <c r="O152" i="3"/>
  <c r="O151" i="3"/>
  <c r="O150" i="3"/>
  <c r="O149" i="3"/>
  <c r="Q149" i="3" s="1"/>
  <c r="R149" i="3" s="1"/>
  <c r="U149" i="3" s="1"/>
  <c r="O148" i="3"/>
  <c r="O147" i="3"/>
  <c r="O146" i="3"/>
  <c r="O145" i="3"/>
  <c r="Q145" i="3" s="1"/>
  <c r="R145" i="3" s="1"/>
  <c r="U145" i="3" s="1"/>
  <c r="O144" i="3"/>
  <c r="O143" i="3"/>
  <c r="O142" i="3"/>
  <c r="O141" i="3"/>
  <c r="Q141" i="3" s="1"/>
  <c r="R141" i="3" s="1"/>
  <c r="U141" i="3" s="1"/>
  <c r="O140" i="3"/>
  <c r="O139" i="3"/>
  <c r="O138" i="3"/>
  <c r="O137" i="3"/>
  <c r="O136" i="3"/>
  <c r="O135" i="3"/>
  <c r="O134" i="3"/>
  <c r="Q134" i="3" s="1"/>
  <c r="R134" i="3" s="1"/>
  <c r="U134" i="3" s="1"/>
  <c r="O133" i="3"/>
  <c r="O132" i="3"/>
  <c r="O131" i="3"/>
  <c r="O130" i="3"/>
  <c r="O129" i="3"/>
  <c r="Q129" i="3" s="1"/>
  <c r="R129" i="3" s="1"/>
  <c r="U129" i="3" s="1"/>
  <c r="O128" i="3"/>
  <c r="O127" i="3"/>
  <c r="O126" i="3"/>
  <c r="O125" i="3"/>
  <c r="Q125" i="3" s="1"/>
  <c r="R125" i="3" s="1"/>
  <c r="U125" i="3" s="1"/>
  <c r="O124" i="3"/>
  <c r="O123" i="3"/>
  <c r="O122" i="3"/>
  <c r="O121" i="3"/>
  <c r="O120" i="3"/>
  <c r="O119" i="3"/>
  <c r="O118" i="3"/>
  <c r="Q118" i="3" s="1"/>
  <c r="R118" i="3" s="1"/>
  <c r="U118" i="3" s="1"/>
  <c r="O117" i="3"/>
  <c r="O116" i="3"/>
  <c r="O115" i="3"/>
  <c r="O114" i="3"/>
  <c r="O113" i="3"/>
  <c r="Q113" i="3" s="1"/>
  <c r="R113" i="3" s="1"/>
  <c r="U113" i="3" s="1"/>
  <c r="O112" i="3"/>
  <c r="O111" i="3"/>
  <c r="O110" i="3"/>
  <c r="O109" i="3"/>
  <c r="Q109" i="3" s="1"/>
  <c r="R109" i="3" s="1"/>
  <c r="U109" i="3" s="1"/>
  <c r="O108" i="3"/>
  <c r="O107" i="3"/>
  <c r="O106" i="3"/>
  <c r="O105" i="3"/>
  <c r="O104" i="3"/>
  <c r="O103" i="3"/>
  <c r="O102" i="3"/>
  <c r="Q102" i="3" s="1"/>
  <c r="R102" i="3" s="1"/>
  <c r="U102" i="3" s="1"/>
  <c r="O101" i="3"/>
  <c r="O100" i="3"/>
  <c r="O99" i="3"/>
  <c r="O98" i="3"/>
  <c r="O97" i="3"/>
  <c r="Q97" i="3" s="1"/>
  <c r="R97" i="3" s="1"/>
  <c r="U97" i="3" s="1"/>
  <c r="O96" i="3"/>
  <c r="O95" i="3"/>
  <c r="O94" i="3"/>
  <c r="O93" i="3"/>
  <c r="Q93" i="3" s="1"/>
  <c r="R93" i="3" s="1"/>
  <c r="U93" i="3" s="1"/>
  <c r="O92" i="3"/>
  <c r="O91" i="3"/>
  <c r="O90" i="3"/>
  <c r="O89" i="3"/>
  <c r="O88" i="3"/>
  <c r="O87" i="3"/>
  <c r="O86" i="3"/>
  <c r="Q86" i="3" s="1"/>
  <c r="R86" i="3" s="1"/>
  <c r="U86" i="3" s="1"/>
  <c r="O85" i="3"/>
  <c r="O84" i="3"/>
  <c r="O83" i="3"/>
  <c r="O82" i="3"/>
  <c r="O81" i="3"/>
  <c r="Q81" i="3" s="1"/>
  <c r="R81" i="3" s="1"/>
  <c r="U81" i="3" s="1"/>
  <c r="O80" i="3"/>
  <c r="O79" i="3"/>
  <c r="O78" i="3"/>
  <c r="O77" i="3"/>
  <c r="O76" i="3"/>
  <c r="O75" i="3"/>
  <c r="O74" i="3"/>
  <c r="O73" i="3"/>
  <c r="Q73" i="3" s="1"/>
  <c r="R73" i="3" s="1"/>
  <c r="U73" i="3" s="1"/>
  <c r="O72" i="3"/>
  <c r="O71" i="3"/>
  <c r="O70" i="3"/>
  <c r="O69" i="3"/>
  <c r="O68" i="3"/>
  <c r="O67" i="3"/>
  <c r="O66" i="3"/>
  <c r="O65" i="3"/>
  <c r="Q65" i="3" s="1"/>
  <c r="R65" i="3" s="1"/>
  <c r="U65" i="3" s="1"/>
  <c r="O64" i="3"/>
  <c r="O63" i="3"/>
  <c r="O62" i="3"/>
  <c r="O61" i="3"/>
  <c r="O60" i="3"/>
  <c r="O59" i="3"/>
  <c r="O58" i="3"/>
  <c r="O57" i="3"/>
  <c r="Q57" i="3" s="1"/>
  <c r="R57" i="3" s="1"/>
  <c r="U57" i="3" s="1"/>
  <c r="O56" i="3"/>
  <c r="O55" i="3"/>
  <c r="O54" i="3"/>
  <c r="O53" i="3"/>
  <c r="O52" i="3"/>
  <c r="O51" i="3"/>
  <c r="O50" i="3"/>
  <c r="O49" i="3"/>
  <c r="Q49" i="3" s="1"/>
  <c r="R49" i="3" s="1"/>
  <c r="U49" i="3" s="1"/>
  <c r="O48" i="3"/>
  <c r="O47" i="3"/>
  <c r="O46" i="3"/>
  <c r="O45" i="3"/>
  <c r="O44" i="3"/>
  <c r="O43" i="3"/>
  <c r="O42" i="3"/>
  <c r="O41" i="3"/>
  <c r="Q41" i="3" s="1"/>
  <c r="R41" i="3" s="1"/>
  <c r="U41" i="3" s="1"/>
  <c r="O40" i="3"/>
  <c r="O39" i="3"/>
  <c r="O38" i="3"/>
  <c r="O37" i="3"/>
  <c r="O36" i="3"/>
  <c r="O35" i="3"/>
  <c r="O34" i="3"/>
  <c r="O33" i="3"/>
  <c r="Q33" i="3" s="1"/>
  <c r="R33" i="3" s="1"/>
  <c r="U33" i="3" s="1"/>
  <c r="O32" i="3"/>
  <c r="O31" i="3"/>
  <c r="O30" i="3"/>
  <c r="O29" i="3"/>
  <c r="O28" i="3"/>
  <c r="O27" i="3"/>
  <c r="O26" i="3"/>
  <c r="O25" i="3"/>
  <c r="Q25" i="3" s="1"/>
  <c r="R25" i="3" s="1"/>
  <c r="U25" i="3" s="1"/>
  <c r="O24" i="3"/>
  <c r="O23" i="3"/>
  <c r="O22" i="3"/>
  <c r="O21" i="3"/>
  <c r="O20" i="3"/>
  <c r="O19" i="3"/>
  <c r="O18" i="3"/>
  <c r="O17" i="3"/>
  <c r="Q17" i="3" s="1"/>
  <c r="R17" i="3" s="1"/>
  <c r="U17" i="3" s="1"/>
  <c r="O16" i="3"/>
  <c r="O15" i="3"/>
  <c r="O14" i="3"/>
  <c r="O13" i="3"/>
  <c r="O12" i="3"/>
  <c r="O11" i="3"/>
  <c r="O10" i="3"/>
  <c r="O9" i="3"/>
  <c r="Q9" i="3" s="1"/>
  <c r="R9" i="3" s="1"/>
  <c r="U9" i="3" s="1"/>
  <c r="O8" i="3"/>
  <c r="O7" i="3"/>
  <c r="O6" i="3"/>
  <c r="O5" i="3"/>
  <c r="O4" i="3"/>
  <c r="O3" i="3"/>
  <c r="O2" i="3"/>
  <c r="Q2" i="3" s="1"/>
  <c r="U13" i="2"/>
  <c r="U29" i="2"/>
  <c r="U45" i="2"/>
  <c r="U61" i="2"/>
  <c r="U77" i="2"/>
  <c r="U93" i="2"/>
  <c r="U109" i="2"/>
  <c r="U125" i="2"/>
  <c r="U141" i="2"/>
  <c r="U157" i="2"/>
  <c r="U173" i="2"/>
  <c r="U189" i="2"/>
  <c r="U205" i="2"/>
  <c r="U221" i="2"/>
  <c r="U237" i="2"/>
  <c r="Q4" i="2"/>
  <c r="R4" i="2" s="1"/>
  <c r="U4" i="2" s="1"/>
  <c r="Q8" i="2"/>
  <c r="R8" i="2" s="1"/>
  <c r="U8" i="2" s="1"/>
  <c r="Q9" i="2"/>
  <c r="R9" i="2" s="1"/>
  <c r="U9" i="2" s="1"/>
  <c r="Q13" i="2"/>
  <c r="R13" i="2" s="1"/>
  <c r="Q15" i="2"/>
  <c r="R15" i="2" s="1"/>
  <c r="U15" i="2" s="1"/>
  <c r="Q20" i="2"/>
  <c r="R20" i="2" s="1"/>
  <c r="U20" i="2" s="1"/>
  <c r="Q24" i="2"/>
  <c r="R24" i="2" s="1"/>
  <c r="U24" i="2" s="1"/>
  <c r="Q25" i="2"/>
  <c r="R25" i="2" s="1"/>
  <c r="U25" i="2" s="1"/>
  <c r="Q29" i="2"/>
  <c r="R29" i="2" s="1"/>
  <c r="Q31" i="2"/>
  <c r="R31" i="2" s="1"/>
  <c r="U31" i="2" s="1"/>
  <c r="Q36" i="2"/>
  <c r="R36" i="2" s="1"/>
  <c r="U36" i="2" s="1"/>
  <c r="Q40" i="2"/>
  <c r="R40" i="2" s="1"/>
  <c r="U40" i="2" s="1"/>
  <c r="Q41" i="2"/>
  <c r="R41" i="2" s="1"/>
  <c r="U41" i="2" s="1"/>
  <c r="Q45" i="2"/>
  <c r="R45" i="2" s="1"/>
  <c r="Q47" i="2"/>
  <c r="R47" i="2" s="1"/>
  <c r="U47" i="2" s="1"/>
  <c r="Q52" i="2"/>
  <c r="R52" i="2" s="1"/>
  <c r="U52" i="2" s="1"/>
  <c r="Q56" i="2"/>
  <c r="R56" i="2" s="1"/>
  <c r="U56" i="2" s="1"/>
  <c r="Q57" i="2"/>
  <c r="R57" i="2" s="1"/>
  <c r="U57" i="2" s="1"/>
  <c r="Q61" i="2"/>
  <c r="R61" i="2" s="1"/>
  <c r="Q63" i="2"/>
  <c r="R63" i="2" s="1"/>
  <c r="U63" i="2" s="1"/>
  <c r="Q68" i="2"/>
  <c r="R68" i="2" s="1"/>
  <c r="U68" i="2" s="1"/>
  <c r="Q72" i="2"/>
  <c r="R72" i="2" s="1"/>
  <c r="U72" i="2" s="1"/>
  <c r="Q73" i="2"/>
  <c r="R73" i="2" s="1"/>
  <c r="U73" i="2" s="1"/>
  <c r="Q77" i="2"/>
  <c r="R77" i="2" s="1"/>
  <c r="Q79" i="2"/>
  <c r="R79" i="2" s="1"/>
  <c r="U79" i="2" s="1"/>
  <c r="Q84" i="2"/>
  <c r="R84" i="2" s="1"/>
  <c r="U84" i="2" s="1"/>
  <c r="Q88" i="2"/>
  <c r="R88" i="2" s="1"/>
  <c r="U88" i="2" s="1"/>
  <c r="Q89" i="2"/>
  <c r="R89" i="2" s="1"/>
  <c r="U89" i="2" s="1"/>
  <c r="Q93" i="2"/>
  <c r="R93" i="2" s="1"/>
  <c r="Q95" i="2"/>
  <c r="R95" i="2" s="1"/>
  <c r="U95" i="2" s="1"/>
  <c r="Q97" i="2"/>
  <c r="R97" i="2" s="1"/>
  <c r="U97" i="2" s="1"/>
  <c r="Q100" i="2"/>
  <c r="R100" i="2" s="1"/>
  <c r="U100" i="2" s="1"/>
  <c r="Q104" i="2"/>
  <c r="R104" i="2" s="1"/>
  <c r="U104" i="2" s="1"/>
  <c r="Q105" i="2"/>
  <c r="R105" i="2" s="1"/>
  <c r="U105" i="2" s="1"/>
  <c r="Q109" i="2"/>
  <c r="R109" i="2" s="1"/>
  <c r="Q111" i="2"/>
  <c r="R111" i="2" s="1"/>
  <c r="U111" i="2" s="1"/>
  <c r="Q113" i="2"/>
  <c r="R113" i="2" s="1"/>
  <c r="U113" i="2" s="1"/>
  <c r="Q116" i="2"/>
  <c r="R116" i="2" s="1"/>
  <c r="U116" i="2" s="1"/>
  <c r="Q120" i="2"/>
  <c r="R120" i="2" s="1"/>
  <c r="U120" i="2" s="1"/>
  <c r="Q121" i="2"/>
  <c r="R121" i="2" s="1"/>
  <c r="U121" i="2" s="1"/>
  <c r="Q125" i="2"/>
  <c r="R125" i="2" s="1"/>
  <c r="Q127" i="2"/>
  <c r="R127" i="2" s="1"/>
  <c r="U127" i="2" s="1"/>
  <c r="Q129" i="2"/>
  <c r="R129" i="2" s="1"/>
  <c r="U129" i="2" s="1"/>
  <c r="Q132" i="2"/>
  <c r="R132" i="2" s="1"/>
  <c r="U132" i="2" s="1"/>
  <c r="Q136" i="2"/>
  <c r="R136" i="2" s="1"/>
  <c r="U136" i="2" s="1"/>
  <c r="Q137" i="2"/>
  <c r="R137" i="2" s="1"/>
  <c r="U137" i="2" s="1"/>
  <c r="Q141" i="2"/>
  <c r="R141" i="2" s="1"/>
  <c r="Q143" i="2"/>
  <c r="R143" i="2" s="1"/>
  <c r="U143" i="2" s="1"/>
  <c r="Q145" i="2"/>
  <c r="R145" i="2" s="1"/>
  <c r="U145" i="2" s="1"/>
  <c r="Q148" i="2"/>
  <c r="R148" i="2" s="1"/>
  <c r="U148" i="2" s="1"/>
  <c r="Q152" i="2"/>
  <c r="R152" i="2" s="1"/>
  <c r="U152" i="2" s="1"/>
  <c r="Q153" i="2"/>
  <c r="R153" i="2" s="1"/>
  <c r="U153" i="2" s="1"/>
  <c r="Q157" i="2"/>
  <c r="R157" i="2" s="1"/>
  <c r="Q159" i="2"/>
  <c r="R159" i="2" s="1"/>
  <c r="U159" i="2" s="1"/>
  <c r="Q161" i="2"/>
  <c r="R161" i="2" s="1"/>
  <c r="U161" i="2" s="1"/>
  <c r="Q164" i="2"/>
  <c r="R164" i="2" s="1"/>
  <c r="U164" i="2" s="1"/>
  <c r="Q168" i="2"/>
  <c r="R168" i="2" s="1"/>
  <c r="U168" i="2" s="1"/>
  <c r="Q169" i="2"/>
  <c r="R169" i="2" s="1"/>
  <c r="U169" i="2" s="1"/>
  <c r="Q173" i="2"/>
  <c r="R173" i="2" s="1"/>
  <c r="Q175" i="2"/>
  <c r="R175" i="2" s="1"/>
  <c r="U175" i="2" s="1"/>
  <c r="Q177" i="2"/>
  <c r="R177" i="2" s="1"/>
  <c r="U177" i="2" s="1"/>
  <c r="Q180" i="2"/>
  <c r="R180" i="2" s="1"/>
  <c r="U180" i="2" s="1"/>
  <c r="Q184" i="2"/>
  <c r="R184" i="2" s="1"/>
  <c r="U184" i="2" s="1"/>
  <c r="Q185" i="2"/>
  <c r="R185" i="2" s="1"/>
  <c r="U185" i="2" s="1"/>
  <c r="Q189" i="2"/>
  <c r="R189" i="2" s="1"/>
  <c r="Q191" i="2"/>
  <c r="R191" i="2" s="1"/>
  <c r="U191" i="2" s="1"/>
  <c r="Q193" i="2"/>
  <c r="R193" i="2" s="1"/>
  <c r="U193" i="2" s="1"/>
  <c r="Q196" i="2"/>
  <c r="R196" i="2" s="1"/>
  <c r="U196" i="2" s="1"/>
  <c r="Q200" i="2"/>
  <c r="R200" i="2" s="1"/>
  <c r="U200" i="2" s="1"/>
  <c r="Q201" i="2"/>
  <c r="R201" i="2" s="1"/>
  <c r="U201" i="2" s="1"/>
  <c r="Q205" i="2"/>
  <c r="R205" i="2" s="1"/>
  <c r="Q207" i="2"/>
  <c r="R207" i="2" s="1"/>
  <c r="U207" i="2" s="1"/>
  <c r="Q209" i="2"/>
  <c r="R209" i="2" s="1"/>
  <c r="U209" i="2" s="1"/>
  <c r="Q212" i="2"/>
  <c r="R212" i="2" s="1"/>
  <c r="U212" i="2" s="1"/>
  <c r="Q216" i="2"/>
  <c r="R216" i="2" s="1"/>
  <c r="U216" i="2" s="1"/>
  <c r="Q217" i="2"/>
  <c r="R217" i="2" s="1"/>
  <c r="U217" i="2" s="1"/>
  <c r="Q221" i="2"/>
  <c r="R221" i="2" s="1"/>
  <c r="Q223" i="2"/>
  <c r="R223" i="2" s="1"/>
  <c r="U223" i="2" s="1"/>
  <c r="Q225" i="2"/>
  <c r="R225" i="2" s="1"/>
  <c r="U225" i="2" s="1"/>
  <c r="Q228" i="2"/>
  <c r="R228" i="2" s="1"/>
  <c r="U228" i="2" s="1"/>
  <c r="Q232" i="2"/>
  <c r="R232" i="2" s="1"/>
  <c r="U232" i="2" s="1"/>
  <c r="Q233" i="2"/>
  <c r="R233" i="2" s="1"/>
  <c r="U233" i="2" s="1"/>
  <c r="Q237" i="2"/>
  <c r="R237" i="2" s="1"/>
  <c r="Q239" i="2"/>
  <c r="R239" i="2" s="1"/>
  <c r="U239" i="2" s="1"/>
  <c r="Q241" i="2"/>
  <c r="R241" i="2" s="1"/>
  <c r="U241" i="2" s="1"/>
  <c r="Q244" i="2"/>
  <c r="R244" i="2" s="1"/>
  <c r="U244" i="2" s="1"/>
  <c r="Q248" i="2"/>
  <c r="R248" i="2" s="1"/>
  <c r="U248" i="2" s="1"/>
  <c r="Q249" i="2"/>
  <c r="R249" i="2" s="1"/>
  <c r="U249" i="2" s="1"/>
  <c r="P251" i="2"/>
  <c r="Q251" i="2" s="1"/>
  <c r="R251" i="2" s="1"/>
  <c r="U251" i="2" s="1"/>
  <c r="P250" i="2"/>
  <c r="Q250" i="2" s="1"/>
  <c r="R250" i="2" s="1"/>
  <c r="U250" i="2" s="1"/>
  <c r="P249" i="2"/>
  <c r="P248" i="2"/>
  <c r="P247" i="2"/>
  <c r="Q247" i="2" s="1"/>
  <c r="R247" i="2" s="1"/>
  <c r="U247" i="2" s="1"/>
  <c r="P246" i="2"/>
  <c r="Q246" i="2" s="1"/>
  <c r="R246" i="2" s="1"/>
  <c r="U246" i="2" s="1"/>
  <c r="P245" i="2"/>
  <c r="Q245" i="2" s="1"/>
  <c r="R245" i="2" s="1"/>
  <c r="U245" i="2" s="1"/>
  <c r="P244" i="2"/>
  <c r="P243" i="2"/>
  <c r="Q243" i="2" s="1"/>
  <c r="R243" i="2" s="1"/>
  <c r="U243" i="2" s="1"/>
  <c r="P242" i="2"/>
  <c r="Q242" i="2" s="1"/>
  <c r="R242" i="2" s="1"/>
  <c r="U242" i="2" s="1"/>
  <c r="P241" i="2"/>
  <c r="P240" i="2"/>
  <c r="Q240" i="2" s="1"/>
  <c r="R240" i="2" s="1"/>
  <c r="U240" i="2" s="1"/>
  <c r="P239" i="2"/>
  <c r="P238" i="2"/>
  <c r="Q238" i="2" s="1"/>
  <c r="R238" i="2" s="1"/>
  <c r="U238" i="2" s="1"/>
  <c r="P237" i="2"/>
  <c r="P236" i="2"/>
  <c r="Q236" i="2" s="1"/>
  <c r="R236" i="2" s="1"/>
  <c r="U236" i="2" s="1"/>
  <c r="P235" i="2"/>
  <c r="Q235" i="2" s="1"/>
  <c r="R235" i="2" s="1"/>
  <c r="U235" i="2" s="1"/>
  <c r="P234" i="2"/>
  <c r="Q234" i="2" s="1"/>
  <c r="R234" i="2" s="1"/>
  <c r="U234" i="2" s="1"/>
  <c r="P233" i="2"/>
  <c r="P232" i="2"/>
  <c r="P231" i="2"/>
  <c r="Q231" i="2" s="1"/>
  <c r="R231" i="2" s="1"/>
  <c r="U231" i="2" s="1"/>
  <c r="P230" i="2"/>
  <c r="Q230" i="2" s="1"/>
  <c r="R230" i="2" s="1"/>
  <c r="U230" i="2" s="1"/>
  <c r="P229" i="2"/>
  <c r="Q229" i="2" s="1"/>
  <c r="R229" i="2" s="1"/>
  <c r="U229" i="2" s="1"/>
  <c r="P228" i="2"/>
  <c r="P227" i="2"/>
  <c r="Q227" i="2" s="1"/>
  <c r="R227" i="2" s="1"/>
  <c r="U227" i="2" s="1"/>
  <c r="P226" i="2"/>
  <c r="Q226" i="2" s="1"/>
  <c r="R226" i="2" s="1"/>
  <c r="U226" i="2" s="1"/>
  <c r="P225" i="2"/>
  <c r="P224" i="2"/>
  <c r="Q224" i="2" s="1"/>
  <c r="R224" i="2" s="1"/>
  <c r="U224" i="2" s="1"/>
  <c r="P223" i="2"/>
  <c r="P222" i="2"/>
  <c r="Q222" i="2" s="1"/>
  <c r="R222" i="2" s="1"/>
  <c r="U222" i="2" s="1"/>
  <c r="P221" i="2"/>
  <c r="P220" i="2"/>
  <c r="Q220" i="2" s="1"/>
  <c r="R220" i="2" s="1"/>
  <c r="U220" i="2" s="1"/>
  <c r="P219" i="2"/>
  <c r="Q219" i="2" s="1"/>
  <c r="R219" i="2" s="1"/>
  <c r="U219" i="2" s="1"/>
  <c r="P218" i="2"/>
  <c r="Q218" i="2" s="1"/>
  <c r="R218" i="2" s="1"/>
  <c r="U218" i="2" s="1"/>
  <c r="P217" i="2"/>
  <c r="P216" i="2"/>
  <c r="P215" i="2"/>
  <c r="Q215" i="2" s="1"/>
  <c r="R215" i="2" s="1"/>
  <c r="U215" i="2" s="1"/>
  <c r="P214" i="2"/>
  <c r="Q214" i="2" s="1"/>
  <c r="R214" i="2" s="1"/>
  <c r="U214" i="2" s="1"/>
  <c r="P213" i="2"/>
  <c r="Q213" i="2" s="1"/>
  <c r="R213" i="2" s="1"/>
  <c r="U213" i="2" s="1"/>
  <c r="P212" i="2"/>
  <c r="P211" i="2"/>
  <c r="Q211" i="2" s="1"/>
  <c r="R211" i="2" s="1"/>
  <c r="U211" i="2" s="1"/>
  <c r="P210" i="2"/>
  <c r="Q210" i="2" s="1"/>
  <c r="R210" i="2" s="1"/>
  <c r="U210" i="2" s="1"/>
  <c r="P209" i="2"/>
  <c r="P208" i="2"/>
  <c r="Q208" i="2" s="1"/>
  <c r="R208" i="2" s="1"/>
  <c r="U208" i="2" s="1"/>
  <c r="P207" i="2"/>
  <c r="P206" i="2"/>
  <c r="Q206" i="2" s="1"/>
  <c r="R206" i="2" s="1"/>
  <c r="U206" i="2" s="1"/>
  <c r="P205" i="2"/>
  <c r="P204" i="2"/>
  <c r="Q204" i="2" s="1"/>
  <c r="R204" i="2" s="1"/>
  <c r="U204" i="2" s="1"/>
  <c r="P203" i="2"/>
  <c r="Q203" i="2" s="1"/>
  <c r="R203" i="2" s="1"/>
  <c r="U203" i="2" s="1"/>
  <c r="P202" i="2"/>
  <c r="Q202" i="2" s="1"/>
  <c r="R202" i="2" s="1"/>
  <c r="U202" i="2" s="1"/>
  <c r="P201" i="2"/>
  <c r="P200" i="2"/>
  <c r="P199" i="2"/>
  <c r="Q199" i="2" s="1"/>
  <c r="R199" i="2" s="1"/>
  <c r="U199" i="2" s="1"/>
  <c r="P198" i="2"/>
  <c r="Q198" i="2" s="1"/>
  <c r="R198" i="2" s="1"/>
  <c r="U198" i="2" s="1"/>
  <c r="P197" i="2"/>
  <c r="Q197" i="2" s="1"/>
  <c r="R197" i="2" s="1"/>
  <c r="U197" i="2" s="1"/>
  <c r="P196" i="2"/>
  <c r="P195" i="2"/>
  <c r="Q195" i="2" s="1"/>
  <c r="R195" i="2" s="1"/>
  <c r="U195" i="2" s="1"/>
  <c r="P194" i="2"/>
  <c r="Q194" i="2" s="1"/>
  <c r="R194" i="2" s="1"/>
  <c r="U194" i="2" s="1"/>
  <c r="P193" i="2"/>
  <c r="P192" i="2"/>
  <c r="Q192" i="2" s="1"/>
  <c r="R192" i="2" s="1"/>
  <c r="U192" i="2" s="1"/>
  <c r="P191" i="2"/>
  <c r="P190" i="2"/>
  <c r="Q190" i="2" s="1"/>
  <c r="R190" i="2" s="1"/>
  <c r="U190" i="2" s="1"/>
  <c r="P189" i="2"/>
  <c r="P188" i="2"/>
  <c r="Q188" i="2" s="1"/>
  <c r="R188" i="2" s="1"/>
  <c r="U188" i="2" s="1"/>
  <c r="P187" i="2"/>
  <c r="Q187" i="2" s="1"/>
  <c r="R187" i="2" s="1"/>
  <c r="U187" i="2" s="1"/>
  <c r="P186" i="2"/>
  <c r="Q186" i="2" s="1"/>
  <c r="R186" i="2" s="1"/>
  <c r="U186" i="2" s="1"/>
  <c r="P185" i="2"/>
  <c r="P184" i="2"/>
  <c r="P183" i="2"/>
  <c r="Q183" i="2" s="1"/>
  <c r="R183" i="2" s="1"/>
  <c r="U183" i="2" s="1"/>
  <c r="P182" i="2"/>
  <c r="Q182" i="2" s="1"/>
  <c r="R182" i="2" s="1"/>
  <c r="U182" i="2" s="1"/>
  <c r="P181" i="2"/>
  <c r="Q181" i="2" s="1"/>
  <c r="R181" i="2" s="1"/>
  <c r="U181" i="2" s="1"/>
  <c r="P180" i="2"/>
  <c r="P179" i="2"/>
  <c r="Q179" i="2" s="1"/>
  <c r="R179" i="2" s="1"/>
  <c r="U179" i="2" s="1"/>
  <c r="P178" i="2"/>
  <c r="Q178" i="2" s="1"/>
  <c r="R178" i="2" s="1"/>
  <c r="U178" i="2" s="1"/>
  <c r="P177" i="2"/>
  <c r="P176" i="2"/>
  <c r="Q176" i="2" s="1"/>
  <c r="R176" i="2" s="1"/>
  <c r="U176" i="2" s="1"/>
  <c r="P175" i="2"/>
  <c r="P174" i="2"/>
  <c r="Q174" i="2" s="1"/>
  <c r="R174" i="2" s="1"/>
  <c r="U174" i="2" s="1"/>
  <c r="P173" i="2"/>
  <c r="P172" i="2"/>
  <c r="Q172" i="2" s="1"/>
  <c r="R172" i="2" s="1"/>
  <c r="U172" i="2" s="1"/>
  <c r="P171" i="2"/>
  <c r="Q171" i="2" s="1"/>
  <c r="R171" i="2" s="1"/>
  <c r="U171" i="2" s="1"/>
  <c r="P170" i="2"/>
  <c r="Q170" i="2" s="1"/>
  <c r="R170" i="2" s="1"/>
  <c r="U170" i="2" s="1"/>
  <c r="P169" i="2"/>
  <c r="P168" i="2"/>
  <c r="P167" i="2"/>
  <c r="Q167" i="2" s="1"/>
  <c r="R167" i="2" s="1"/>
  <c r="U167" i="2" s="1"/>
  <c r="P166" i="2"/>
  <c r="Q166" i="2" s="1"/>
  <c r="R166" i="2" s="1"/>
  <c r="U166" i="2" s="1"/>
  <c r="P165" i="2"/>
  <c r="Q165" i="2" s="1"/>
  <c r="R165" i="2" s="1"/>
  <c r="U165" i="2" s="1"/>
  <c r="P164" i="2"/>
  <c r="P163" i="2"/>
  <c r="Q163" i="2" s="1"/>
  <c r="R163" i="2" s="1"/>
  <c r="U163" i="2" s="1"/>
  <c r="P162" i="2"/>
  <c r="Q162" i="2" s="1"/>
  <c r="R162" i="2" s="1"/>
  <c r="U162" i="2" s="1"/>
  <c r="P161" i="2"/>
  <c r="P160" i="2"/>
  <c r="Q160" i="2" s="1"/>
  <c r="R160" i="2" s="1"/>
  <c r="U160" i="2" s="1"/>
  <c r="P159" i="2"/>
  <c r="P158" i="2"/>
  <c r="Q158" i="2" s="1"/>
  <c r="R158" i="2" s="1"/>
  <c r="U158" i="2" s="1"/>
  <c r="P157" i="2"/>
  <c r="P156" i="2"/>
  <c r="Q156" i="2" s="1"/>
  <c r="R156" i="2" s="1"/>
  <c r="U156" i="2" s="1"/>
  <c r="P155" i="2"/>
  <c r="Q155" i="2" s="1"/>
  <c r="R155" i="2" s="1"/>
  <c r="U155" i="2" s="1"/>
  <c r="P154" i="2"/>
  <c r="Q154" i="2" s="1"/>
  <c r="R154" i="2" s="1"/>
  <c r="U154" i="2" s="1"/>
  <c r="P153" i="2"/>
  <c r="P152" i="2"/>
  <c r="P151" i="2"/>
  <c r="Q151" i="2" s="1"/>
  <c r="R151" i="2" s="1"/>
  <c r="U151" i="2" s="1"/>
  <c r="P150" i="2"/>
  <c r="Q150" i="2" s="1"/>
  <c r="R150" i="2" s="1"/>
  <c r="U150" i="2" s="1"/>
  <c r="P149" i="2"/>
  <c r="Q149" i="2" s="1"/>
  <c r="R149" i="2" s="1"/>
  <c r="U149" i="2" s="1"/>
  <c r="P148" i="2"/>
  <c r="P147" i="2"/>
  <c r="Q147" i="2" s="1"/>
  <c r="R147" i="2" s="1"/>
  <c r="U147" i="2" s="1"/>
  <c r="P146" i="2"/>
  <c r="Q146" i="2" s="1"/>
  <c r="R146" i="2" s="1"/>
  <c r="U146" i="2" s="1"/>
  <c r="P145" i="2"/>
  <c r="P144" i="2"/>
  <c r="Q144" i="2" s="1"/>
  <c r="R144" i="2" s="1"/>
  <c r="U144" i="2" s="1"/>
  <c r="P143" i="2"/>
  <c r="P142" i="2"/>
  <c r="Q142" i="2" s="1"/>
  <c r="R142" i="2" s="1"/>
  <c r="U142" i="2" s="1"/>
  <c r="P141" i="2"/>
  <c r="P140" i="2"/>
  <c r="Q140" i="2" s="1"/>
  <c r="R140" i="2" s="1"/>
  <c r="U140" i="2" s="1"/>
  <c r="P139" i="2"/>
  <c r="Q139" i="2" s="1"/>
  <c r="R139" i="2" s="1"/>
  <c r="U139" i="2" s="1"/>
  <c r="P138" i="2"/>
  <c r="Q138" i="2" s="1"/>
  <c r="R138" i="2" s="1"/>
  <c r="U138" i="2" s="1"/>
  <c r="P137" i="2"/>
  <c r="P136" i="2"/>
  <c r="P135" i="2"/>
  <c r="Q135" i="2" s="1"/>
  <c r="R135" i="2" s="1"/>
  <c r="U135" i="2" s="1"/>
  <c r="P134" i="2"/>
  <c r="Q134" i="2" s="1"/>
  <c r="R134" i="2" s="1"/>
  <c r="U134" i="2" s="1"/>
  <c r="P133" i="2"/>
  <c r="Q133" i="2" s="1"/>
  <c r="R133" i="2" s="1"/>
  <c r="U133" i="2" s="1"/>
  <c r="P132" i="2"/>
  <c r="P131" i="2"/>
  <c r="Q131" i="2" s="1"/>
  <c r="R131" i="2" s="1"/>
  <c r="U131" i="2" s="1"/>
  <c r="P130" i="2"/>
  <c r="Q130" i="2" s="1"/>
  <c r="R130" i="2" s="1"/>
  <c r="U130" i="2" s="1"/>
  <c r="P129" i="2"/>
  <c r="P128" i="2"/>
  <c r="Q128" i="2" s="1"/>
  <c r="R128" i="2" s="1"/>
  <c r="U128" i="2" s="1"/>
  <c r="P127" i="2"/>
  <c r="P126" i="2"/>
  <c r="Q126" i="2" s="1"/>
  <c r="R126" i="2" s="1"/>
  <c r="U126" i="2" s="1"/>
  <c r="P125" i="2"/>
  <c r="P124" i="2"/>
  <c r="Q124" i="2" s="1"/>
  <c r="R124" i="2" s="1"/>
  <c r="U124" i="2" s="1"/>
  <c r="P123" i="2"/>
  <c r="Q123" i="2" s="1"/>
  <c r="R123" i="2" s="1"/>
  <c r="U123" i="2" s="1"/>
  <c r="P122" i="2"/>
  <c r="Q122" i="2" s="1"/>
  <c r="R122" i="2" s="1"/>
  <c r="U122" i="2" s="1"/>
  <c r="P121" i="2"/>
  <c r="P120" i="2"/>
  <c r="P119" i="2"/>
  <c r="Q119" i="2" s="1"/>
  <c r="R119" i="2" s="1"/>
  <c r="U119" i="2" s="1"/>
  <c r="P118" i="2"/>
  <c r="Q118" i="2" s="1"/>
  <c r="R118" i="2" s="1"/>
  <c r="U118" i="2" s="1"/>
  <c r="P117" i="2"/>
  <c r="Q117" i="2" s="1"/>
  <c r="R117" i="2" s="1"/>
  <c r="U117" i="2" s="1"/>
  <c r="P116" i="2"/>
  <c r="P115" i="2"/>
  <c r="Q115" i="2" s="1"/>
  <c r="R115" i="2" s="1"/>
  <c r="U115" i="2" s="1"/>
  <c r="P114" i="2"/>
  <c r="Q114" i="2" s="1"/>
  <c r="R114" i="2" s="1"/>
  <c r="U114" i="2" s="1"/>
  <c r="P113" i="2"/>
  <c r="P112" i="2"/>
  <c r="Q112" i="2" s="1"/>
  <c r="R112" i="2" s="1"/>
  <c r="U112" i="2" s="1"/>
  <c r="P111" i="2"/>
  <c r="P110" i="2"/>
  <c r="Q110" i="2" s="1"/>
  <c r="R110" i="2" s="1"/>
  <c r="U110" i="2" s="1"/>
  <c r="P109" i="2"/>
  <c r="P108" i="2"/>
  <c r="Q108" i="2" s="1"/>
  <c r="R108" i="2" s="1"/>
  <c r="U108" i="2" s="1"/>
  <c r="P107" i="2"/>
  <c r="Q107" i="2" s="1"/>
  <c r="R107" i="2" s="1"/>
  <c r="U107" i="2" s="1"/>
  <c r="P106" i="2"/>
  <c r="Q106" i="2" s="1"/>
  <c r="R106" i="2" s="1"/>
  <c r="U106" i="2" s="1"/>
  <c r="P105" i="2"/>
  <c r="P104" i="2"/>
  <c r="P103" i="2"/>
  <c r="Q103" i="2" s="1"/>
  <c r="R103" i="2" s="1"/>
  <c r="U103" i="2" s="1"/>
  <c r="P102" i="2"/>
  <c r="Q102" i="2" s="1"/>
  <c r="R102" i="2" s="1"/>
  <c r="U102" i="2" s="1"/>
  <c r="P101" i="2"/>
  <c r="Q101" i="2" s="1"/>
  <c r="R101" i="2" s="1"/>
  <c r="U101" i="2" s="1"/>
  <c r="P100" i="2"/>
  <c r="P99" i="2"/>
  <c r="Q99" i="2" s="1"/>
  <c r="R99" i="2" s="1"/>
  <c r="U99" i="2" s="1"/>
  <c r="P98" i="2"/>
  <c r="Q98" i="2" s="1"/>
  <c r="R98" i="2" s="1"/>
  <c r="U98" i="2" s="1"/>
  <c r="P97" i="2"/>
  <c r="P96" i="2"/>
  <c r="Q96" i="2" s="1"/>
  <c r="R96" i="2" s="1"/>
  <c r="U96" i="2" s="1"/>
  <c r="P95" i="2"/>
  <c r="P94" i="2"/>
  <c r="Q94" i="2" s="1"/>
  <c r="R94" i="2" s="1"/>
  <c r="U94" i="2" s="1"/>
  <c r="P93" i="2"/>
  <c r="P92" i="2"/>
  <c r="Q92" i="2" s="1"/>
  <c r="R92" i="2" s="1"/>
  <c r="U92" i="2" s="1"/>
  <c r="P91" i="2"/>
  <c r="Q91" i="2" s="1"/>
  <c r="R91" i="2" s="1"/>
  <c r="U91" i="2" s="1"/>
  <c r="P90" i="2"/>
  <c r="Q90" i="2" s="1"/>
  <c r="R90" i="2" s="1"/>
  <c r="U90" i="2" s="1"/>
  <c r="P89" i="2"/>
  <c r="P88" i="2"/>
  <c r="P87" i="2"/>
  <c r="Q87" i="2" s="1"/>
  <c r="R87" i="2" s="1"/>
  <c r="U87" i="2" s="1"/>
  <c r="P86" i="2"/>
  <c r="Q86" i="2" s="1"/>
  <c r="R86" i="2" s="1"/>
  <c r="U86" i="2" s="1"/>
  <c r="P85" i="2"/>
  <c r="Q85" i="2" s="1"/>
  <c r="R85" i="2" s="1"/>
  <c r="U85" i="2" s="1"/>
  <c r="P84" i="2"/>
  <c r="P83" i="2"/>
  <c r="Q83" i="2" s="1"/>
  <c r="R83" i="2" s="1"/>
  <c r="U83" i="2" s="1"/>
  <c r="P82" i="2"/>
  <c r="Q82" i="2" s="1"/>
  <c r="R82" i="2" s="1"/>
  <c r="U82" i="2" s="1"/>
  <c r="P81" i="2"/>
  <c r="Q81" i="2" s="1"/>
  <c r="R81" i="2" s="1"/>
  <c r="U81" i="2" s="1"/>
  <c r="P80" i="2"/>
  <c r="Q80" i="2" s="1"/>
  <c r="R80" i="2" s="1"/>
  <c r="U80" i="2" s="1"/>
  <c r="P79" i="2"/>
  <c r="P78" i="2"/>
  <c r="Q78" i="2" s="1"/>
  <c r="R78" i="2" s="1"/>
  <c r="U78" i="2" s="1"/>
  <c r="P77" i="2"/>
  <c r="P76" i="2"/>
  <c r="Q76" i="2" s="1"/>
  <c r="R76" i="2" s="1"/>
  <c r="U76" i="2" s="1"/>
  <c r="P75" i="2"/>
  <c r="Q75" i="2" s="1"/>
  <c r="R75" i="2" s="1"/>
  <c r="U75" i="2" s="1"/>
  <c r="P74" i="2"/>
  <c r="Q74" i="2" s="1"/>
  <c r="R74" i="2" s="1"/>
  <c r="U74" i="2" s="1"/>
  <c r="P73" i="2"/>
  <c r="P72" i="2"/>
  <c r="P71" i="2"/>
  <c r="Q71" i="2" s="1"/>
  <c r="R71" i="2" s="1"/>
  <c r="U71" i="2" s="1"/>
  <c r="P70" i="2"/>
  <c r="Q70" i="2" s="1"/>
  <c r="R70" i="2" s="1"/>
  <c r="U70" i="2" s="1"/>
  <c r="P69" i="2"/>
  <c r="Q69" i="2" s="1"/>
  <c r="R69" i="2" s="1"/>
  <c r="U69" i="2" s="1"/>
  <c r="P68" i="2"/>
  <c r="P67" i="2"/>
  <c r="Q67" i="2" s="1"/>
  <c r="R67" i="2" s="1"/>
  <c r="U67" i="2" s="1"/>
  <c r="P66" i="2"/>
  <c r="Q66" i="2" s="1"/>
  <c r="R66" i="2" s="1"/>
  <c r="U66" i="2" s="1"/>
  <c r="P65" i="2"/>
  <c r="Q65" i="2" s="1"/>
  <c r="R65" i="2" s="1"/>
  <c r="U65" i="2" s="1"/>
  <c r="P64" i="2"/>
  <c r="Q64" i="2" s="1"/>
  <c r="R64" i="2" s="1"/>
  <c r="U64" i="2" s="1"/>
  <c r="P63" i="2"/>
  <c r="P62" i="2"/>
  <c r="Q62" i="2" s="1"/>
  <c r="R62" i="2" s="1"/>
  <c r="U62" i="2" s="1"/>
  <c r="P61" i="2"/>
  <c r="P60" i="2"/>
  <c r="Q60" i="2" s="1"/>
  <c r="R60" i="2" s="1"/>
  <c r="U60" i="2" s="1"/>
  <c r="P59" i="2"/>
  <c r="Q59" i="2" s="1"/>
  <c r="R59" i="2" s="1"/>
  <c r="U59" i="2" s="1"/>
  <c r="P58" i="2"/>
  <c r="Q58" i="2" s="1"/>
  <c r="R58" i="2" s="1"/>
  <c r="U58" i="2" s="1"/>
  <c r="P57" i="2"/>
  <c r="P56" i="2"/>
  <c r="P55" i="2"/>
  <c r="Q55" i="2" s="1"/>
  <c r="R55" i="2" s="1"/>
  <c r="U55" i="2" s="1"/>
  <c r="P54" i="2"/>
  <c r="Q54" i="2" s="1"/>
  <c r="R54" i="2" s="1"/>
  <c r="U54" i="2" s="1"/>
  <c r="P53" i="2"/>
  <c r="Q53" i="2" s="1"/>
  <c r="R53" i="2" s="1"/>
  <c r="U53" i="2" s="1"/>
  <c r="P52" i="2"/>
  <c r="P51" i="2"/>
  <c r="Q51" i="2" s="1"/>
  <c r="R51" i="2" s="1"/>
  <c r="U51" i="2" s="1"/>
  <c r="P50" i="2"/>
  <c r="Q50" i="2" s="1"/>
  <c r="R50" i="2" s="1"/>
  <c r="U50" i="2" s="1"/>
  <c r="P49" i="2"/>
  <c r="Q49" i="2" s="1"/>
  <c r="R49" i="2" s="1"/>
  <c r="U49" i="2" s="1"/>
  <c r="P48" i="2"/>
  <c r="Q48" i="2" s="1"/>
  <c r="R48" i="2" s="1"/>
  <c r="U48" i="2" s="1"/>
  <c r="P47" i="2"/>
  <c r="P46" i="2"/>
  <c r="Q46" i="2" s="1"/>
  <c r="R46" i="2" s="1"/>
  <c r="U46" i="2" s="1"/>
  <c r="P45" i="2"/>
  <c r="P44" i="2"/>
  <c r="Q44" i="2" s="1"/>
  <c r="R44" i="2" s="1"/>
  <c r="U44" i="2" s="1"/>
  <c r="P43" i="2"/>
  <c r="Q43" i="2" s="1"/>
  <c r="R43" i="2" s="1"/>
  <c r="U43" i="2" s="1"/>
  <c r="P42" i="2"/>
  <c r="Q42" i="2" s="1"/>
  <c r="R42" i="2" s="1"/>
  <c r="U42" i="2" s="1"/>
  <c r="P41" i="2"/>
  <c r="P40" i="2"/>
  <c r="P39" i="2"/>
  <c r="Q39" i="2" s="1"/>
  <c r="R39" i="2" s="1"/>
  <c r="U39" i="2" s="1"/>
  <c r="P38" i="2"/>
  <c r="Q38" i="2" s="1"/>
  <c r="R38" i="2" s="1"/>
  <c r="U38" i="2" s="1"/>
  <c r="P37" i="2"/>
  <c r="Q37" i="2" s="1"/>
  <c r="R37" i="2" s="1"/>
  <c r="U37" i="2" s="1"/>
  <c r="P36" i="2"/>
  <c r="P35" i="2"/>
  <c r="Q35" i="2" s="1"/>
  <c r="R35" i="2" s="1"/>
  <c r="U35" i="2" s="1"/>
  <c r="P34" i="2"/>
  <c r="Q34" i="2" s="1"/>
  <c r="R34" i="2" s="1"/>
  <c r="U34" i="2" s="1"/>
  <c r="P33" i="2"/>
  <c r="Q33" i="2" s="1"/>
  <c r="R33" i="2" s="1"/>
  <c r="U33" i="2" s="1"/>
  <c r="P32" i="2"/>
  <c r="Q32" i="2" s="1"/>
  <c r="R32" i="2" s="1"/>
  <c r="U32" i="2" s="1"/>
  <c r="P31" i="2"/>
  <c r="P30" i="2"/>
  <c r="Q30" i="2" s="1"/>
  <c r="R30" i="2" s="1"/>
  <c r="U30" i="2" s="1"/>
  <c r="P29" i="2"/>
  <c r="P28" i="2"/>
  <c r="Q28" i="2" s="1"/>
  <c r="R28" i="2" s="1"/>
  <c r="U28" i="2" s="1"/>
  <c r="P27" i="2"/>
  <c r="Q27" i="2" s="1"/>
  <c r="R27" i="2" s="1"/>
  <c r="U27" i="2" s="1"/>
  <c r="P26" i="2"/>
  <c r="Q26" i="2" s="1"/>
  <c r="R26" i="2" s="1"/>
  <c r="U26" i="2" s="1"/>
  <c r="P25" i="2"/>
  <c r="P24" i="2"/>
  <c r="P23" i="2"/>
  <c r="Q23" i="2" s="1"/>
  <c r="R23" i="2" s="1"/>
  <c r="U23" i="2" s="1"/>
  <c r="P22" i="2"/>
  <c r="Q22" i="2" s="1"/>
  <c r="R22" i="2" s="1"/>
  <c r="U22" i="2" s="1"/>
  <c r="P21" i="2"/>
  <c r="Q21" i="2" s="1"/>
  <c r="R21" i="2" s="1"/>
  <c r="U21" i="2" s="1"/>
  <c r="P20" i="2"/>
  <c r="P19" i="2"/>
  <c r="Q19" i="2" s="1"/>
  <c r="R19" i="2" s="1"/>
  <c r="U19" i="2" s="1"/>
  <c r="P18" i="2"/>
  <c r="Q18" i="2" s="1"/>
  <c r="R18" i="2" s="1"/>
  <c r="U18" i="2" s="1"/>
  <c r="P17" i="2"/>
  <c r="Q17" i="2" s="1"/>
  <c r="R17" i="2" s="1"/>
  <c r="U17" i="2" s="1"/>
  <c r="P16" i="2"/>
  <c r="Q16" i="2" s="1"/>
  <c r="R16" i="2" s="1"/>
  <c r="U16" i="2" s="1"/>
  <c r="P15" i="2"/>
  <c r="P14" i="2"/>
  <c r="Q14" i="2" s="1"/>
  <c r="R14" i="2" s="1"/>
  <c r="U14" i="2" s="1"/>
  <c r="P13" i="2"/>
  <c r="P12" i="2"/>
  <c r="Q12" i="2" s="1"/>
  <c r="R12" i="2" s="1"/>
  <c r="U12" i="2" s="1"/>
  <c r="P11" i="2"/>
  <c r="Q11" i="2" s="1"/>
  <c r="R11" i="2" s="1"/>
  <c r="U11" i="2" s="1"/>
  <c r="P10" i="2"/>
  <c r="Q10" i="2" s="1"/>
  <c r="R10" i="2" s="1"/>
  <c r="U10" i="2" s="1"/>
  <c r="P9" i="2"/>
  <c r="P8" i="2"/>
  <c r="P7" i="2"/>
  <c r="Q7" i="2" s="1"/>
  <c r="R7" i="2" s="1"/>
  <c r="U7" i="2" s="1"/>
  <c r="P6" i="2"/>
  <c r="Q6" i="2" s="1"/>
  <c r="R6" i="2" s="1"/>
  <c r="U6" i="2" s="1"/>
  <c r="P5" i="2"/>
  <c r="Q5" i="2" s="1"/>
  <c r="R5" i="2" s="1"/>
  <c r="U5" i="2" s="1"/>
  <c r="P4" i="2"/>
  <c r="P3" i="2"/>
  <c r="Q3" i="2" s="1"/>
  <c r="R3" i="2" s="1"/>
  <c r="U3" i="2" s="1"/>
  <c r="P2" i="2"/>
  <c r="P2" i="1"/>
  <c r="Q2" i="1" s="1"/>
  <c r="R2" i="1" s="1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Q2" i="2" s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O3" i="1"/>
  <c r="Q3" i="1" s="1"/>
  <c r="O4" i="1"/>
  <c r="O5" i="1"/>
  <c r="O6" i="1"/>
  <c r="O7" i="1"/>
  <c r="O8" i="1"/>
  <c r="O9" i="1"/>
  <c r="O10" i="1"/>
  <c r="O11" i="1"/>
  <c r="O12" i="1"/>
  <c r="O13" i="1"/>
  <c r="Q13" i="1" s="1"/>
  <c r="R13" i="1" s="1"/>
  <c r="U13" i="1" s="1"/>
  <c r="O14" i="1"/>
  <c r="O15" i="1"/>
  <c r="O16" i="1"/>
  <c r="O17" i="1"/>
  <c r="O18" i="1"/>
  <c r="Q18" i="1" s="1"/>
  <c r="R18" i="1" s="1"/>
  <c r="U18" i="1" s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Q43" i="1" s="1"/>
  <c r="R43" i="1" s="1"/>
  <c r="U43" i="1" s="1"/>
  <c r="O44" i="1"/>
  <c r="O45" i="1"/>
  <c r="Q45" i="1" s="1"/>
  <c r="R45" i="1" s="1"/>
  <c r="U45" i="1" s="1"/>
  <c r="O46" i="1"/>
  <c r="Q46" i="1" s="1"/>
  <c r="R46" i="1" s="1"/>
  <c r="U46" i="1" s="1"/>
  <c r="O47" i="1"/>
  <c r="O48" i="1"/>
  <c r="O49" i="1"/>
  <c r="O50" i="1"/>
  <c r="Q50" i="1" s="1"/>
  <c r="R50" i="1" s="1"/>
  <c r="U50" i="1" s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Q63" i="1" s="1"/>
  <c r="R63" i="1" s="1"/>
  <c r="U63" i="1" s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Q77" i="1" s="1"/>
  <c r="R77" i="1" s="1"/>
  <c r="U77" i="1" s="1"/>
  <c r="O78" i="1"/>
  <c r="Q78" i="1" s="1"/>
  <c r="R78" i="1" s="1"/>
  <c r="U78" i="1" s="1"/>
  <c r="O79" i="1"/>
  <c r="O80" i="1"/>
  <c r="O81" i="1"/>
  <c r="O82" i="1"/>
  <c r="Q82" i="1" s="1"/>
  <c r="R82" i="1" s="1"/>
  <c r="U82" i="1" s="1"/>
  <c r="O83" i="1"/>
  <c r="O84" i="1"/>
  <c r="O85" i="1"/>
  <c r="Q85" i="1" s="1"/>
  <c r="R85" i="1" s="1"/>
  <c r="U85" i="1" s="1"/>
  <c r="O86" i="1"/>
  <c r="O87" i="1"/>
  <c r="O88" i="1"/>
  <c r="O89" i="1"/>
  <c r="O90" i="1"/>
  <c r="Q90" i="1" s="1"/>
  <c r="R90" i="1" s="1"/>
  <c r="U90" i="1" s="1"/>
  <c r="O91" i="1"/>
  <c r="Q91" i="1" s="1"/>
  <c r="R91" i="1" s="1"/>
  <c r="U91" i="1" s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Q114" i="1" s="1"/>
  <c r="R114" i="1" s="1"/>
  <c r="U114" i="1" s="1"/>
  <c r="O115" i="1"/>
  <c r="O116" i="1"/>
  <c r="O117" i="1"/>
  <c r="Q117" i="1" s="1"/>
  <c r="R117" i="1" s="1"/>
  <c r="U117" i="1" s="1"/>
  <c r="O118" i="1"/>
  <c r="Q118" i="1" s="1"/>
  <c r="R118" i="1" s="1"/>
  <c r="U118" i="1" s="1"/>
  <c r="O119" i="1"/>
  <c r="O120" i="1"/>
  <c r="O121" i="1"/>
  <c r="O122" i="1"/>
  <c r="Q122" i="1" s="1"/>
  <c r="R122" i="1" s="1"/>
  <c r="U122" i="1" s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Q146" i="1" s="1"/>
  <c r="R146" i="1" s="1"/>
  <c r="U146" i="1" s="1"/>
  <c r="O147" i="1"/>
  <c r="O148" i="1"/>
  <c r="O149" i="1"/>
  <c r="O150" i="1"/>
  <c r="Q150" i="1" s="1"/>
  <c r="R150" i="1" s="1"/>
  <c r="U150" i="1" s="1"/>
  <c r="O151" i="1"/>
  <c r="O152" i="1"/>
  <c r="O153" i="1"/>
  <c r="O154" i="1"/>
  <c r="Q154" i="1" s="1"/>
  <c r="R154" i="1" s="1"/>
  <c r="U154" i="1" s="1"/>
  <c r="O155" i="1"/>
  <c r="O156" i="1"/>
  <c r="O157" i="1"/>
  <c r="O158" i="1"/>
  <c r="O159" i="1"/>
  <c r="O160" i="1"/>
  <c r="O161" i="1"/>
  <c r="O162" i="1"/>
  <c r="O163" i="1"/>
  <c r="O164" i="1"/>
  <c r="O165" i="1"/>
  <c r="Q165" i="1" s="1"/>
  <c r="R165" i="1" s="1"/>
  <c r="U165" i="1" s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Q178" i="1" s="1"/>
  <c r="R178" i="1" s="1"/>
  <c r="U178" i="1" s="1"/>
  <c r="O179" i="1"/>
  <c r="O180" i="1"/>
  <c r="O181" i="1"/>
  <c r="O182" i="1"/>
  <c r="Q182" i="1" s="1"/>
  <c r="R182" i="1" s="1"/>
  <c r="U182" i="1" s="1"/>
  <c r="O183" i="1"/>
  <c r="O184" i="1"/>
  <c r="O185" i="1"/>
  <c r="O186" i="1"/>
  <c r="Q186" i="1" s="1"/>
  <c r="R186" i="1" s="1"/>
  <c r="U186" i="1" s="1"/>
  <c r="O187" i="1"/>
  <c r="O188" i="1"/>
  <c r="O189" i="1"/>
  <c r="O190" i="1"/>
  <c r="O191" i="1"/>
  <c r="O192" i="1"/>
  <c r="O193" i="1"/>
  <c r="O194" i="1"/>
  <c r="Q194" i="1" s="1"/>
  <c r="R194" i="1" s="1"/>
  <c r="U194" i="1" s="1"/>
  <c r="O195" i="1"/>
  <c r="O196" i="1"/>
  <c r="O197" i="1"/>
  <c r="Q197" i="1" s="1"/>
  <c r="R197" i="1" s="1"/>
  <c r="U197" i="1" s="1"/>
  <c r="O198" i="1"/>
  <c r="O199" i="1"/>
  <c r="O200" i="1"/>
  <c r="O201" i="1"/>
  <c r="O202" i="1"/>
  <c r="Q202" i="1" s="1"/>
  <c r="R202" i="1" s="1"/>
  <c r="U202" i="1" s="1"/>
  <c r="O203" i="1"/>
  <c r="O204" i="1"/>
  <c r="O205" i="1"/>
  <c r="Q205" i="1" s="1"/>
  <c r="R205" i="1" s="1"/>
  <c r="U205" i="1" s="1"/>
  <c r="O206" i="1"/>
  <c r="Q206" i="1" s="1"/>
  <c r="R206" i="1" s="1"/>
  <c r="U206" i="1" s="1"/>
  <c r="O207" i="1"/>
  <c r="Q207" i="1" s="1"/>
  <c r="R207" i="1" s="1"/>
  <c r="U207" i="1" s="1"/>
  <c r="O208" i="1"/>
  <c r="O209" i="1"/>
  <c r="O210" i="1"/>
  <c r="Q210" i="1" s="1"/>
  <c r="R210" i="1" s="1"/>
  <c r="U210" i="1" s="1"/>
  <c r="O211" i="1"/>
  <c r="O212" i="1"/>
  <c r="O213" i="1"/>
  <c r="O214" i="1"/>
  <c r="O215" i="1"/>
  <c r="O216" i="1"/>
  <c r="O217" i="1"/>
  <c r="O218" i="1"/>
  <c r="Q218" i="1" s="1"/>
  <c r="R218" i="1" s="1"/>
  <c r="U218" i="1" s="1"/>
  <c r="O219" i="1"/>
  <c r="O220" i="1"/>
  <c r="O221" i="1"/>
  <c r="Q221" i="1" s="1"/>
  <c r="R221" i="1" s="1"/>
  <c r="U221" i="1" s="1"/>
  <c r="O222" i="1"/>
  <c r="Q222" i="1" s="1"/>
  <c r="R222" i="1" s="1"/>
  <c r="U222" i="1" s="1"/>
  <c r="O223" i="1"/>
  <c r="O224" i="1"/>
  <c r="O225" i="1"/>
  <c r="O226" i="1"/>
  <c r="Q226" i="1" s="1"/>
  <c r="R226" i="1" s="1"/>
  <c r="U226" i="1" s="1"/>
  <c r="O227" i="1"/>
  <c r="O228" i="1"/>
  <c r="O229" i="1"/>
  <c r="O230" i="1"/>
  <c r="O231" i="1"/>
  <c r="O232" i="1"/>
  <c r="O233" i="1"/>
  <c r="O234" i="1"/>
  <c r="Q234" i="1" s="1"/>
  <c r="R234" i="1" s="1"/>
  <c r="U234" i="1" s="1"/>
  <c r="O235" i="1"/>
  <c r="O236" i="1"/>
  <c r="O237" i="1"/>
  <c r="O238" i="1"/>
  <c r="O239" i="1"/>
  <c r="O240" i="1"/>
  <c r="O241" i="1"/>
  <c r="O242" i="1"/>
  <c r="Q242" i="1" s="1"/>
  <c r="R242" i="1" s="1"/>
  <c r="U242" i="1" s="1"/>
  <c r="O243" i="1"/>
  <c r="O244" i="1"/>
  <c r="O245" i="1"/>
  <c r="O246" i="1"/>
  <c r="O247" i="1"/>
  <c r="O248" i="1"/>
  <c r="O249" i="1"/>
  <c r="O250" i="1"/>
  <c r="Q250" i="1" s="1"/>
  <c r="R250" i="1" s="1"/>
  <c r="U250" i="1" s="1"/>
  <c r="O251" i="1"/>
  <c r="O2" i="1"/>
  <c r="Q85" i="3" l="1"/>
  <c r="R85" i="3" s="1"/>
  <c r="U85" i="3" s="1"/>
  <c r="Q89" i="3"/>
  <c r="R89" i="3" s="1"/>
  <c r="U89" i="3" s="1"/>
  <c r="Q101" i="3"/>
  <c r="R101" i="3" s="1"/>
  <c r="U101" i="3" s="1"/>
  <c r="Q105" i="3"/>
  <c r="R105" i="3" s="1"/>
  <c r="U105" i="3" s="1"/>
  <c r="Q117" i="3"/>
  <c r="R117" i="3" s="1"/>
  <c r="U117" i="3" s="1"/>
  <c r="Q121" i="3"/>
  <c r="R121" i="3" s="1"/>
  <c r="U121" i="3" s="1"/>
  <c r="Q133" i="3"/>
  <c r="R133" i="3" s="1"/>
  <c r="U133" i="3" s="1"/>
  <c r="Q137" i="3"/>
  <c r="R137" i="3" s="1"/>
  <c r="U137" i="3" s="1"/>
  <c r="R2" i="3"/>
  <c r="O252" i="3"/>
  <c r="P252" i="3"/>
  <c r="Q252" i="2"/>
  <c r="R2" i="2"/>
  <c r="O252" i="2"/>
  <c r="P252" i="2"/>
  <c r="Q44" i="1"/>
  <c r="R44" i="1" s="1"/>
  <c r="U44" i="1" s="1"/>
  <c r="Q14" i="1"/>
  <c r="R14" i="1" s="1"/>
  <c r="U14" i="1" s="1"/>
  <c r="Q248" i="1"/>
  <c r="R248" i="1" s="1"/>
  <c r="U248" i="1" s="1"/>
  <c r="Q240" i="1"/>
  <c r="R240" i="1" s="1"/>
  <c r="U240" i="1" s="1"/>
  <c r="Q236" i="1"/>
  <c r="R236" i="1" s="1"/>
  <c r="U236" i="1" s="1"/>
  <c r="Q232" i="1"/>
  <c r="R232" i="1" s="1"/>
  <c r="U232" i="1" s="1"/>
  <c r="Q228" i="1"/>
  <c r="R228" i="1" s="1"/>
  <c r="U228" i="1" s="1"/>
  <c r="Q224" i="1"/>
  <c r="R224" i="1" s="1"/>
  <c r="U224" i="1" s="1"/>
  <c r="Q220" i="1"/>
  <c r="R220" i="1" s="1"/>
  <c r="U220" i="1" s="1"/>
  <c r="Q216" i="1"/>
  <c r="R216" i="1" s="1"/>
  <c r="U216" i="1" s="1"/>
  <c r="Q212" i="1"/>
  <c r="R212" i="1" s="1"/>
  <c r="U212" i="1" s="1"/>
  <c r="Q208" i="1"/>
  <c r="R208" i="1" s="1"/>
  <c r="U208" i="1" s="1"/>
  <c r="Q200" i="1"/>
  <c r="R200" i="1" s="1"/>
  <c r="U200" i="1" s="1"/>
  <c r="Q196" i="1"/>
  <c r="R196" i="1" s="1"/>
  <c r="U196" i="1" s="1"/>
  <c r="Q192" i="1"/>
  <c r="R192" i="1" s="1"/>
  <c r="U192" i="1" s="1"/>
  <c r="Q188" i="1"/>
  <c r="R188" i="1" s="1"/>
  <c r="U188" i="1" s="1"/>
  <c r="Q184" i="1"/>
  <c r="R184" i="1" s="1"/>
  <c r="U184" i="1" s="1"/>
  <c r="Q176" i="1"/>
  <c r="R176" i="1" s="1"/>
  <c r="U176" i="1" s="1"/>
  <c r="Q172" i="1"/>
  <c r="R172" i="1" s="1"/>
  <c r="U172" i="1" s="1"/>
  <c r="Q168" i="1"/>
  <c r="R168" i="1" s="1"/>
  <c r="U168" i="1" s="1"/>
  <c r="Q164" i="1"/>
  <c r="R164" i="1" s="1"/>
  <c r="U164" i="1" s="1"/>
  <c r="Q160" i="1"/>
  <c r="R160" i="1" s="1"/>
  <c r="U160" i="1" s="1"/>
  <c r="Q152" i="1"/>
  <c r="R152" i="1" s="1"/>
  <c r="U152" i="1" s="1"/>
  <c r="Q144" i="1"/>
  <c r="R144" i="1" s="1"/>
  <c r="U144" i="1" s="1"/>
  <c r="Q140" i="1"/>
  <c r="R140" i="1" s="1"/>
  <c r="U140" i="1" s="1"/>
  <c r="Q136" i="1"/>
  <c r="R136" i="1" s="1"/>
  <c r="U136" i="1" s="1"/>
  <c r="Q132" i="1"/>
  <c r="R132" i="1" s="1"/>
  <c r="U132" i="1" s="1"/>
  <c r="Q128" i="1"/>
  <c r="R128" i="1" s="1"/>
  <c r="U128" i="1" s="1"/>
  <c r="Q120" i="1"/>
  <c r="R120" i="1" s="1"/>
  <c r="U120" i="1" s="1"/>
  <c r="Q112" i="1"/>
  <c r="R112" i="1" s="1"/>
  <c r="U112" i="1" s="1"/>
  <c r="Q108" i="1"/>
  <c r="R108" i="1" s="1"/>
  <c r="U108" i="1" s="1"/>
  <c r="Q104" i="1"/>
  <c r="R104" i="1" s="1"/>
  <c r="U104" i="1" s="1"/>
  <c r="Q100" i="1"/>
  <c r="R100" i="1" s="1"/>
  <c r="U100" i="1" s="1"/>
  <c r="Q96" i="1"/>
  <c r="R96" i="1" s="1"/>
  <c r="U96" i="1" s="1"/>
  <c r="Q88" i="1"/>
  <c r="R88" i="1" s="1"/>
  <c r="U88" i="1" s="1"/>
  <c r="Q80" i="1"/>
  <c r="R80" i="1" s="1"/>
  <c r="U80" i="1" s="1"/>
  <c r="Q72" i="1"/>
  <c r="R72" i="1" s="1"/>
  <c r="U72" i="1" s="1"/>
  <c r="Q68" i="1"/>
  <c r="R68" i="1" s="1"/>
  <c r="U68" i="1" s="1"/>
  <c r="Q64" i="1"/>
  <c r="R64" i="1" s="1"/>
  <c r="U64" i="1" s="1"/>
  <c r="Q12" i="1"/>
  <c r="R12" i="1" s="1"/>
  <c r="U12" i="1" s="1"/>
  <c r="T253" i="1"/>
  <c r="W44" i="1"/>
  <c r="X44" i="1" s="1"/>
  <c r="V253" i="1"/>
  <c r="W242" i="1"/>
  <c r="X242" i="1" s="1"/>
  <c r="W222" i="1"/>
  <c r="X222" i="1" s="1"/>
  <c r="W202" i="1"/>
  <c r="X202" i="1" s="1"/>
  <c r="W194" i="1"/>
  <c r="X194" i="1" s="1"/>
  <c r="W182" i="1"/>
  <c r="X182" i="1" s="1"/>
  <c r="W150" i="1"/>
  <c r="X150" i="1" s="1"/>
  <c r="W146" i="1"/>
  <c r="X146" i="1" s="1"/>
  <c r="W118" i="1"/>
  <c r="X118" i="1" s="1"/>
  <c r="W114" i="1"/>
  <c r="X114" i="1" s="1"/>
  <c r="W90" i="1"/>
  <c r="X90" i="1" s="1"/>
  <c r="W82" i="1"/>
  <c r="X82" i="1" s="1"/>
  <c r="W46" i="1"/>
  <c r="X46" i="1" s="1"/>
  <c r="W18" i="1"/>
  <c r="X18" i="1" s="1"/>
  <c r="Q247" i="1"/>
  <c r="R247" i="1" s="1"/>
  <c r="U247" i="1" s="1"/>
  <c r="Q171" i="1"/>
  <c r="R171" i="1" s="1"/>
  <c r="U171" i="1" s="1"/>
  <c r="Q163" i="1"/>
  <c r="R163" i="1" s="1"/>
  <c r="U163" i="1" s="1"/>
  <c r="Q131" i="1"/>
  <c r="R131" i="1" s="1"/>
  <c r="U131" i="1" s="1"/>
  <c r="Q99" i="1"/>
  <c r="R99" i="1" s="1"/>
  <c r="U99" i="1" s="1"/>
  <c r="Q67" i="1"/>
  <c r="R67" i="1" s="1"/>
  <c r="U67" i="1" s="1"/>
  <c r="Q59" i="1"/>
  <c r="R59" i="1" s="1"/>
  <c r="U59" i="1" s="1"/>
  <c r="Q27" i="1"/>
  <c r="R27" i="1" s="1"/>
  <c r="U27" i="1" s="1"/>
  <c r="Q11" i="1"/>
  <c r="R11" i="1" s="1"/>
  <c r="U11" i="1" s="1"/>
  <c r="W221" i="1"/>
  <c r="X221" i="1" s="1"/>
  <c r="W205" i="1"/>
  <c r="X205" i="1" s="1"/>
  <c r="W197" i="1"/>
  <c r="X197" i="1" s="1"/>
  <c r="W165" i="1"/>
  <c r="X165" i="1" s="1"/>
  <c r="W117" i="1"/>
  <c r="X117" i="1" s="1"/>
  <c r="W85" i="1"/>
  <c r="X85" i="1" s="1"/>
  <c r="W77" i="1"/>
  <c r="X77" i="1" s="1"/>
  <c r="W45" i="1"/>
  <c r="X45" i="1" s="1"/>
  <c r="W13" i="1"/>
  <c r="X13" i="1" s="1"/>
  <c r="W250" i="1"/>
  <c r="X250" i="1" s="1"/>
  <c r="W218" i="1"/>
  <c r="X218" i="1" s="1"/>
  <c r="W210" i="1"/>
  <c r="X210" i="1" s="1"/>
  <c r="W178" i="1"/>
  <c r="X178" i="1" s="1"/>
  <c r="W154" i="1"/>
  <c r="X154" i="1" s="1"/>
  <c r="W122" i="1"/>
  <c r="X122" i="1" s="1"/>
  <c r="W78" i="1"/>
  <c r="X78" i="1" s="1"/>
  <c r="W50" i="1"/>
  <c r="X50" i="1" s="1"/>
  <c r="W14" i="1"/>
  <c r="X14" i="1" s="1"/>
  <c r="Q246" i="1"/>
  <c r="R246" i="1" s="1"/>
  <c r="U246" i="1" s="1"/>
  <c r="Q162" i="1"/>
  <c r="R162" i="1" s="1"/>
  <c r="U162" i="1" s="1"/>
  <c r="Q130" i="1"/>
  <c r="R130" i="1" s="1"/>
  <c r="U130" i="1" s="1"/>
  <c r="Q98" i="1"/>
  <c r="R98" i="1" s="1"/>
  <c r="U98" i="1" s="1"/>
  <c r="Q66" i="1"/>
  <c r="R66" i="1" s="1"/>
  <c r="U66" i="1" s="1"/>
  <c r="Q58" i="1"/>
  <c r="R58" i="1" s="1"/>
  <c r="U58" i="1" s="1"/>
  <c r="Q34" i="1"/>
  <c r="R34" i="1" s="1"/>
  <c r="U34" i="1" s="1"/>
  <c r="Q26" i="1"/>
  <c r="R26" i="1" s="1"/>
  <c r="U26" i="1" s="1"/>
  <c r="W248" i="1"/>
  <c r="X248" i="1" s="1"/>
  <c r="W236" i="1"/>
  <c r="X236" i="1" s="1"/>
  <c r="W232" i="1"/>
  <c r="X232" i="1" s="1"/>
  <c r="W228" i="1"/>
  <c r="X228" i="1" s="1"/>
  <c r="W220" i="1"/>
  <c r="W216" i="1"/>
  <c r="X216" i="1" s="1"/>
  <c r="W212" i="1"/>
  <c r="X212" i="1" s="1"/>
  <c r="W200" i="1"/>
  <c r="X200" i="1" s="1"/>
  <c r="W196" i="1"/>
  <c r="X196" i="1" s="1"/>
  <c r="W192" i="1"/>
  <c r="X192" i="1" s="1"/>
  <c r="W184" i="1"/>
  <c r="X184" i="1" s="1"/>
  <c r="W176" i="1"/>
  <c r="X176" i="1" s="1"/>
  <c r="W172" i="1"/>
  <c r="X172" i="1" s="1"/>
  <c r="W164" i="1"/>
  <c r="X164" i="1" s="1"/>
  <c r="W160" i="1"/>
  <c r="X160" i="1" s="1"/>
  <c r="W152" i="1"/>
  <c r="X152" i="1" s="1"/>
  <c r="W140" i="1"/>
  <c r="X140" i="1" s="1"/>
  <c r="W136" i="1"/>
  <c r="X136" i="1" s="1"/>
  <c r="W132" i="1"/>
  <c r="X132" i="1" s="1"/>
  <c r="W120" i="1"/>
  <c r="X120" i="1" s="1"/>
  <c r="W112" i="1"/>
  <c r="X112" i="1" s="1"/>
  <c r="W108" i="1"/>
  <c r="X108" i="1" s="1"/>
  <c r="W100" i="1"/>
  <c r="X100" i="1" s="1"/>
  <c r="W96" i="1"/>
  <c r="X96" i="1" s="1"/>
  <c r="W88" i="1"/>
  <c r="X88" i="1" s="1"/>
  <c r="W72" i="1"/>
  <c r="X72" i="1" s="1"/>
  <c r="W68" i="1"/>
  <c r="X68" i="1" s="1"/>
  <c r="W64" i="1"/>
  <c r="X64" i="1" s="1"/>
  <c r="W234" i="1"/>
  <c r="X234" i="1" s="1"/>
  <c r="W226" i="1"/>
  <c r="X226" i="1" s="1"/>
  <c r="W206" i="1"/>
  <c r="X206" i="1" s="1"/>
  <c r="W186" i="1"/>
  <c r="X186" i="1" s="1"/>
  <c r="Q249" i="1"/>
  <c r="R249" i="1" s="1"/>
  <c r="U249" i="1" s="1"/>
  <c r="Q245" i="1"/>
  <c r="R245" i="1" s="1"/>
  <c r="U245" i="1" s="1"/>
  <c r="Q241" i="1"/>
  <c r="R241" i="1" s="1"/>
  <c r="U241" i="1" s="1"/>
  <c r="Q181" i="1"/>
  <c r="R181" i="1" s="1"/>
  <c r="U181" i="1" s="1"/>
  <c r="Q149" i="1"/>
  <c r="R149" i="1" s="1"/>
  <c r="U149" i="1" s="1"/>
  <c r="Q133" i="1"/>
  <c r="R133" i="1" s="1"/>
  <c r="U133" i="1" s="1"/>
  <c r="W207" i="1"/>
  <c r="X207" i="1" s="1"/>
  <c r="W163" i="1"/>
  <c r="W131" i="1"/>
  <c r="W91" i="1"/>
  <c r="X91" i="1" s="1"/>
  <c r="W63" i="1"/>
  <c r="X63" i="1" s="1"/>
  <c r="W59" i="1"/>
  <c r="W43" i="1"/>
  <c r="X43" i="1" s="1"/>
  <c r="Q139" i="1"/>
  <c r="R139" i="1" s="1"/>
  <c r="U139" i="1" s="1"/>
  <c r="Q123" i="1"/>
  <c r="R123" i="1" s="1"/>
  <c r="U123" i="1" s="1"/>
  <c r="Q111" i="1"/>
  <c r="R111" i="1" s="1"/>
  <c r="U111" i="1" s="1"/>
  <c r="Q107" i="1"/>
  <c r="R107" i="1" s="1"/>
  <c r="U107" i="1" s="1"/>
  <c r="Q79" i="1"/>
  <c r="R79" i="1" s="1"/>
  <c r="U79" i="1" s="1"/>
  <c r="Q75" i="1"/>
  <c r="R75" i="1" s="1"/>
  <c r="U75" i="1" s="1"/>
  <c r="Q47" i="1"/>
  <c r="R47" i="1" s="1"/>
  <c r="U47" i="1" s="1"/>
  <c r="Q35" i="1"/>
  <c r="R35" i="1" s="1"/>
  <c r="U35" i="1" s="1"/>
  <c r="Q31" i="1"/>
  <c r="R31" i="1" s="1"/>
  <c r="U31" i="1" s="1"/>
  <c r="R3" i="1"/>
  <c r="U3" i="1" s="1"/>
  <c r="Q231" i="1"/>
  <c r="R231" i="1" s="1"/>
  <c r="U231" i="1" s="1"/>
  <c r="Q183" i="1"/>
  <c r="R183" i="1" s="1"/>
  <c r="U183" i="1" s="1"/>
  <c r="Q155" i="1"/>
  <c r="R155" i="1" s="1"/>
  <c r="U155" i="1" s="1"/>
  <c r="Q151" i="1"/>
  <c r="R151" i="1" s="1"/>
  <c r="U151" i="1" s="1"/>
  <c r="Q244" i="1"/>
  <c r="R244" i="1" s="1"/>
  <c r="U244" i="1" s="1"/>
  <c r="Q204" i="1"/>
  <c r="R204" i="1" s="1"/>
  <c r="U204" i="1" s="1"/>
  <c r="Q180" i="1"/>
  <c r="R180" i="1" s="1"/>
  <c r="U180" i="1" s="1"/>
  <c r="Q76" i="1"/>
  <c r="R76" i="1" s="1"/>
  <c r="U76" i="1" s="1"/>
  <c r="Q233" i="1"/>
  <c r="R233" i="1" s="1"/>
  <c r="U233" i="1" s="1"/>
  <c r="Q225" i="1"/>
  <c r="R225" i="1" s="1"/>
  <c r="U225" i="1" s="1"/>
  <c r="Q217" i="1"/>
  <c r="R217" i="1" s="1"/>
  <c r="U217" i="1" s="1"/>
  <c r="Q209" i="1"/>
  <c r="R209" i="1" s="1"/>
  <c r="U209" i="1" s="1"/>
  <c r="Q201" i="1"/>
  <c r="R201" i="1" s="1"/>
  <c r="U201" i="1" s="1"/>
  <c r="Q193" i="1"/>
  <c r="R193" i="1" s="1"/>
  <c r="U193" i="1" s="1"/>
  <c r="Q185" i="1"/>
  <c r="R185" i="1" s="1"/>
  <c r="U185" i="1" s="1"/>
  <c r="Q177" i="1"/>
  <c r="R177" i="1" s="1"/>
  <c r="U177" i="1" s="1"/>
  <c r="Q56" i="1"/>
  <c r="R56" i="1" s="1"/>
  <c r="U56" i="1" s="1"/>
  <c r="Q48" i="1"/>
  <c r="R48" i="1" s="1"/>
  <c r="U48" i="1" s="1"/>
  <c r="Q40" i="1"/>
  <c r="R40" i="1" s="1"/>
  <c r="U40" i="1" s="1"/>
  <c r="Q36" i="1"/>
  <c r="R36" i="1" s="1"/>
  <c r="U36" i="1" s="1"/>
  <c r="Q32" i="1"/>
  <c r="R32" i="1" s="1"/>
  <c r="U32" i="1" s="1"/>
  <c r="Q24" i="1"/>
  <c r="R24" i="1" s="1"/>
  <c r="U24" i="1" s="1"/>
  <c r="Q16" i="1"/>
  <c r="R16" i="1" s="1"/>
  <c r="U16" i="1" s="1"/>
  <c r="Q8" i="1"/>
  <c r="R8" i="1" s="1"/>
  <c r="U8" i="1" s="1"/>
  <c r="Q4" i="1"/>
  <c r="R4" i="1" s="1"/>
  <c r="U4" i="1" s="1"/>
  <c r="U2" i="1"/>
  <c r="Q215" i="1"/>
  <c r="R215" i="1" s="1"/>
  <c r="U215" i="1" s="1"/>
  <c r="Q175" i="1"/>
  <c r="R175" i="1" s="1"/>
  <c r="U175" i="1" s="1"/>
  <c r="Q135" i="1"/>
  <c r="R135" i="1" s="1"/>
  <c r="U135" i="1" s="1"/>
  <c r="Q103" i="1"/>
  <c r="R103" i="1" s="1"/>
  <c r="U103" i="1" s="1"/>
  <c r="Q71" i="1"/>
  <c r="R71" i="1" s="1"/>
  <c r="U71" i="1" s="1"/>
  <c r="Q39" i="1"/>
  <c r="R39" i="1" s="1"/>
  <c r="U39" i="1" s="1"/>
  <c r="Q15" i="1"/>
  <c r="R15" i="1" s="1"/>
  <c r="U15" i="1" s="1"/>
  <c r="Q230" i="1"/>
  <c r="R230" i="1" s="1"/>
  <c r="U230" i="1" s="1"/>
  <c r="Q174" i="1"/>
  <c r="R174" i="1" s="1"/>
  <c r="U174" i="1" s="1"/>
  <c r="Q86" i="1"/>
  <c r="R86" i="1" s="1"/>
  <c r="U86" i="1" s="1"/>
  <c r="Q213" i="1"/>
  <c r="R213" i="1" s="1"/>
  <c r="U213" i="1" s="1"/>
  <c r="Q141" i="1"/>
  <c r="R141" i="1" s="1"/>
  <c r="U141" i="1" s="1"/>
  <c r="Q53" i="1"/>
  <c r="R53" i="1" s="1"/>
  <c r="U53" i="1" s="1"/>
  <c r="Q21" i="1"/>
  <c r="R21" i="1" s="1"/>
  <c r="U21" i="1" s="1"/>
  <c r="Q223" i="1"/>
  <c r="R223" i="1" s="1"/>
  <c r="U223" i="1" s="1"/>
  <c r="Q191" i="1"/>
  <c r="R191" i="1" s="1"/>
  <c r="U191" i="1" s="1"/>
  <c r="Q159" i="1"/>
  <c r="R159" i="1" s="1"/>
  <c r="U159" i="1" s="1"/>
  <c r="Q127" i="1"/>
  <c r="R127" i="1" s="1"/>
  <c r="U127" i="1" s="1"/>
  <c r="Q87" i="1"/>
  <c r="R87" i="1" s="1"/>
  <c r="U87" i="1" s="1"/>
  <c r="Q23" i="1"/>
  <c r="R23" i="1" s="1"/>
  <c r="U23" i="1" s="1"/>
  <c r="Q7" i="1"/>
  <c r="R7" i="1" s="1"/>
  <c r="U7" i="1" s="1"/>
  <c r="O253" i="1"/>
  <c r="Q238" i="1"/>
  <c r="R238" i="1" s="1"/>
  <c r="U238" i="1" s="1"/>
  <c r="Q198" i="1"/>
  <c r="R198" i="1" s="1"/>
  <c r="U198" i="1" s="1"/>
  <c r="Q142" i="1"/>
  <c r="R142" i="1" s="1"/>
  <c r="U142" i="1" s="1"/>
  <c r="Q54" i="1"/>
  <c r="R54" i="1" s="1"/>
  <c r="U54" i="1" s="1"/>
  <c r="Q237" i="1"/>
  <c r="R237" i="1" s="1"/>
  <c r="U237" i="1" s="1"/>
  <c r="Q189" i="1"/>
  <c r="R189" i="1" s="1"/>
  <c r="U189" i="1" s="1"/>
  <c r="Q109" i="1"/>
  <c r="R109" i="1" s="1"/>
  <c r="U109" i="1" s="1"/>
  <c r="Q69" i="1"/>
  <c r="R69" i="1" s="1"/>
  <c r="U69" i="1" s="1"/>
  <c r="Q5" i="1"/>
  <c r="R5" i="1" s="1"/>
  <c r="U5" i="1" s="1"/>
  <c r="Q239" i="1"/>
  <c r="R239" i="1" s="1"/>
  <c r="U239" i="1" s="1"/>
  <c r="Q199" i="1"/>
  <c r="R199" i="1" s="1"/>
  <c r="U199" i="1" s="1"/>
  <c r="Q167" i="1"/>
  <c r="R167" i="1" s="1"/>
  <c r="U167" i="1" s="1"/>
  <c r="Q143" i="1"/>
  <c r="R143" i="1" s="1"/>
  <c r="U143" i="1" s="1"/>
  <c r="Q119" i="1"/>
  <c r="R119" i="1" s="1"/>
  <c r="U119" i="1" s="1"/>
  <c r="Q95" i="1"/>
  <c r="R95" i="1" s="1"/>
  <c r="U95" i="1" s="1"/>
  <c r="Q55" i="1"/>
  <c r="R55" i="1" s="1"/>
  <c r="U55" i="1" s="1"/>
  <c r="Q214" i="1"/>
  <c r="R214" i="1" s="1"/>
  <c r="U214" i="1" s="1"/>
  <c r="Q190" i="1"/>
  <c r="R190" i="1" s="1"/>
  <c r="U190" i="1" s="1"/>
  <c r="Q110" i="1"/>
  <c r="R110" i="1" s="1"/>
  <c r="U110" i="1" s="1"/>
  <c r="Q22" i="1"/>
  <c r="R22" i="1" s="1"/>
  <c r="U22" i="1" s="1"/>
  <c r="Q229" i="1"/>
  <c r="R229" i="1" s="1"/>
  <c r="U229" i="1" s="1"/>
  <c r="Q173" i="1"/>
  <c r="R173" i="1" s="1"/>
  <c r="U173" i="1" s="1"/>
  <c r="Q101" i="1"/>
  <c r="R101" i="1" s="1"/>
  <c r="U101" i="1" s="1"/>
  <c r="Q37" i="1"/>
  <c r="R37" i="1" s="1"/>
  <c r="U37" i="1" s="1"/>
  <c r="Q158" i="1"/>
  <c r="R158" i="1" s="1"/>
  <c r="U158" i="1" s="1"/>
  <c r="Q70" i="1"/>
  <c r="R70" i="1" s="1"/>
  <c r="U70" i="1" s="1"/>
  <c r="Q30" i="1"/>
  <c r="R30" i="1" s="1"/>
  <c r="U30" i="1" s="1"/>
  <c r="Q61" i="1"/>
  <c r="R61" i="1" s="1"/>
  <c r="U61" i="1" s="1"/>
  <c r="P253" i="1"/>
  <c r="Q156" i="1"/>
  <c r="R156" i="1" s="1"/>
  <c r="U156" i="1" s="1"/>
  <c r="Q148" i="1"/>
  <c r="R148" i="1" s="1"/>
  <c r="U148" i="1" s="1"/>
  <c r="Q124" i="1"/>
  <c r="R124" i="1" s="1"/>
  <c r="U124" i="1" s="1"/>
  <c r="Q116" i="1"/>
  <c r="R116" i="1" s="1"/>
  <c r="U116" i="1" s="1"/>
  <c r="Q92" i="1"/>
  <c r="R92" i="1" s="1"/>
  <c r="U92" i="1" s="1"/>
  <c r="Q84" i="1"/>
  <c r="R84" i="1" s="1"/>
  <c r="U84" i="1" s="1"/>
  <c r="Q60" i="1"/>
  <c r="R60" i="1" s="1"/>
  <c r="U60" i="1" s="1"/>
  <c r="Q52" i="1"/>
  <c r="R52" i="1" s="1"/>
  <c r="U52" i="1" s="1"/>
  <c r="Q28" i="1"/>
  <c r="R28" i="1" s="1"/>
  <c r="U28" i="1" s="1"/>
  <c r="Q20" i="1"/>
  <c r="R20" i="1" s="1"/>
  <c r="U20" i="1" s="1"/>
  <c r="Q126" i="1"/>
  <c r="R126" i="1" s="1"/>
  <c r="U126" i="1" s="1"/>
  <c r="Q94" i="1"/>
  <c r="R94" i="1" s="1"/>
  <c r="U94" i="1" s="1"/>
  <c r="Q38" i="1"/>
  <c r="R38" i="1" s="1"/>
  <c r="U38" i="1" s="1"/>
  <c r="Q125" i="1"/>
  <c r="R125" i="1" s="1"/>
  <c r="U125" i="1" s="1"/>
  <c r="Q29" i="1"/>
  <c r="R29" i="1" s="1"/>
  <c r="U29" i="1" s="1"/>
  <c r="Q251" i="1"/>
  <c r="R251" i="1" s="1"/>
  <c r="U251" i="1" s="1"/>
  <c r="Q235" i="1"/>
  <c r="R235" i="1" s="1"/>
  <c r="U235" i="1" s="1"/>
  <c r="Q219" i="1"/>
  <c r="R219" i="1" s="1"/>
  <c r="U219" i="1" s="1"/>
  <c r="Q203" i="1"/>
  <c r="R203" i="1" s="1"/>
  <c r="U203" i="1" s="1"/>
  <c r="Q187" i="1"/>
  <c r="R187" i="1" s="1"/>
  <c r="U187" i="1" s="1"/>
  <c r="Q147" i="1"/>
  <c r="R147" i="1" s="1"/>
  <c r="U147" i="1" s="1"/>
  <c r="Q115" i="1"/>
  <c r="R115" i="1" s="1"/>
  <c r="U115" i="1" s="1"/>
  <c r="Q51" i="1"/>
  <c r="R51" i="1" s="1"/>
  <c r="U51" i="1" s="1"/>
  <c r="Q19" i="1"/>
  <c r="R19" i="1" s="1"/>
  <c r="U19" i="1" s="1"/>
  <c r="Q166" i="1"/>
  <c r="R166" i="1" s="1"/>
  <c r="U166" i="1" s="1"/>
  <c r="Q134" i="1"/>
  <c r="R134" i="1" s="1"/>
  <c r="U134" i="1" s="1"/>
  <c r="Q102" i="1"/>
  <c r="R102" i="1" s="1"/>
  <c r="U102" i="1" s="1"/>
  <c r="Q62" i="1"/>
  <c r="R62" i="1" s="1"/>
  <c r="U62" i="1" s="1"/>
  <c r="Q6" i="1"/>
  <c r="R6" i="1" s="1"/>
  <c r="U6" i="1" s="1"/>
  <c r="Q157" i="1"/>
  <c r="R157" i="1" s="1"/>
  <c r="U157" i="1" s="1"/>
  <c r="Q93" i="1"/>
  <c r="R93" i="1" s="1"/>
  <c r="U93" i="1" s="1"/>
  <c r="Q243" i="1"/>
  <c r="R243" i="1" s="1"/>
  <c r="U243" i="1" s="1"/>
  <c r="Q227" i="1"/>
  <c r="R227" i="1" s="1"/>
  <c r="U227" i="1" s="1"/>
  <c r="Q211" i="1"/>
  <c r="R211" i="1" s="1"/>
  <c r="U211" i="1" s="1"/>
  <c r="Q195" i="1"/>
  <c r="R195" i="1" s="1"/>
  <c r="U195" i="1" s="1"/>
  <c r="Q179" i="1"/>
  <c r="R179" i="1" s="1"/>
  <c r="U179" i="1" s="1"/>
  <c r="Q83" i="1"/>
  <c r="R83" i="1" s="1"/>
  <c r="U83" i="1" s="1"/>
  <c r="Q170" i="1"/>
  <c r="R170" i="1" s="1"/>
  <c r="U170" i="1" s="1"/>
  <c r="Q138" i="1"/>
  <c r="R138" i="1" s="1"/>
  <c r="U138" i="1" s="1"/>
  <c r="Q106" i="1"/>
  <c r="R106" i="1" s="1"/>
  <c r="U106" i="1" s="1"/>
  <c r="Q74" i="1"/>
  <c r="R74" i="1" s="1"/>
  <c r="U74" i="1" s="1"/>
  <c r="Q42" i="1"/>
  <c r="R42" i="1" s="1"/>
  <c r="U42" i="1" s="1"/>
  <c r="Q10" i="1"/>
  <c r="R10" i="1" s="1"/>
  <c r="U10" i="1" s="1"/>
  <c r="W2" i="1"/>
  <c r="S253" i="1"/>
  <c r="Q169" i="1"/>
  <c r="R169" i="1" s="1"/>
  <c r="U169" i="1" s="1"/>
  <c r="Q161" i="1"/>
  <c r="R161" i="1" s="1"/>
  <c r="U161" i="1" s="1"/>
  <c r="Q153" i="1"/>
  <c r="R153" i="1" s="1"/>
  <c r="U153" i="1" s="1"/>
  <c r="Q145" i="1"/>
  <c r="R145" i="1" s="1"/>
  <c r="U145" i="1" s="1"/>
  <c r="Q137" i="1"/>
  <c r="R137" i="1" s="1"/>
  <c r="U137" i="1" s="1"/>
  <c r="Q129" i="1"/>
  <c r="R129" i="1" s="1"/>
  <c r="U129" i="1" s="1"/>
  <c r="Q121" i="1"/>
  <c r="R121" i="1" s="1"/>
  <c r="U121" i="1" s="1"/>
  <c r="Q113" i="1"/>
  <c r="R113" i="1" s="1"/>
  <c r="U113" i="1" s="1"/>
  <c r="Q105" i="1"/>
  <c r="R105" i="1" s="1"/>
  <c r="U105" i="1" s="1"/>
  <c r="Q97" i="1"/>
  <c r="R97" i="1" s="1"/>
  <c r="U97" i="1" s="1"/>
  <c r="Q89" i="1"/>
  <c r="R89" i="1" s="1"/>
  <c r="U89" i="1" s="1"/>
  <c r="Q81" i="1"/>
  <c r="R81" i="1" s="1"/>
  <c r="U81" i="1" s="1"/>
  <c r="Q73" i="1"/>
  <c r="R73" i="1" s="1"/>
  <c r="U73" i="1" s="1"/>
  <c r="Q65" i="1"/>
  <c r="R65" i="1" s="1"/>
  <c r="U65" i="1" s="1"/>
  <c r="Q57" i="1"/>
  <c r="R57" i="1" s="1"/>
  <c r="U57" i="1" s="1"/>
  <c r="Q49" i="1"/>
  <c r="R49" i="1" s="1"/>
  <c r="U49" i="1" s="1"/>
  <c r="Q41" i="1"/>
  <c r="R41" i="1" s="1"/>
  <c r="U41" i="1" s="1"/>
  <c r="Q33" i="1"/>
  <c r="R33" i="1" s="1"/>
  <c r="U33" i="1" s="1"/>
  <c r="Q25" i="1"/>
  <c r="R25" i="1" s="1"/>
  <c r="U25" i="1" s="1"/>
  <c r="Q17" i="1"/>
  <c r="R17" i="1" s="1"/>
  <c r="U17" i="1" s="1"/>
  <c r="Q9" i="1"/>
  <c r="R9" i="1" s="1"/>
  <c r="U9" i="1" s="1"/>
  <c r="Q252" i="3" l="1"/>
  <c r="U2" i="3"/>
  <c r="U252" i="3" s="1"/>
  <c r="R252" i="3"/>
  <c r="R252" i="2"/>
  <c r="U2" i="2"/>
  <c r="U252" i="2" s="1"/>
  <c r="W12" i="1"/>
  <c r="X12" i="1" s="1"/>
  <c r="W28" i="1"/>
  <c r="W80" i="1"/>
  <c r="X80" i="1" s="1"/>
  <c r="W104" i="1"/>
  <c r="X104" i="1" s="1"/>
  <c r="W128" i="1"/>
  <c r="X128" i="1" s="1"/>
  <c r="W144" i="1"/>
  <c r="X144" i="1" s="1"/>
  <c r="W168" i="1"/>
  <c r="X168" i="1" s="1"/>
  <c r="W188" i="1"/>
  <c r="X188" i="1" s="1"/>
  <c r="W208" i="1"/>
  <c r="X208" i="1" s="1"/>
  <c r="W224" i="1"/>
  <c r="X224" i="1" s="1"/>
  <c r="W240" i="1"/>
  <c r="X240" i="1" s="1"/>
  <c r="W249" i="1"/>
  <c r="W66" i="1"/>
  <c r="W27" i="1"/>
  <c r="X27" i="1" s="1"/>
  <c r="X220" i="1"/>
  <c r="W151" i="1"/>
  <c r="W246" i="1"/>
  <c r="W166" i="1"/>
  <c r="X166" i="1" s="1"/>
  <c r="W111" i="1"/>
  <c r="X111" i="1" s="1"/>
  <c r="W121" i="1"/>
  <c r="X121" i="1" s="1"/>
  <c r="W201" i="1"/>
  <c r="X201" i="1" s="1"/>
  <c r="X69" i="1"/>
  <c r="X151" i="1"/>
  <c r="W127" i="1"/>
  <c r="X127" i="1" s="1"/>
  <c r="W223" i="1"/>
  <c r="X223" i="1" s="1"/>
  <c r="X249" i="1"/>
  <c r="W175" i="1"/>
  <c r="X175" i="1" s="1"/>
  <c r="W239" i="1"/>
  <c r="X239" i="1" s="1"/>
  <c r="W48" i="1"/>
  <c r="X48" i="1" s="1"/>
  <c r="W89" i="1"/>
  <c r="X89" i="1" s="1"/>
  <c r="X131" i="1"/>
  <c r="W126" i="1"/>
  <c r="X126" i="1" s="1"/>
  <c r="W15" i="1"/>
  <c r="X15" i="1" s="1"/>
  <c r="W26" i="1"/>
  <c r="X26" i="1" s="1"/>
  <c r="W102" i="1"/>
  <c r="X102" i="1" s="1"/>
  <c r="W25" i="1"/>
  <c r="X25" i="1" s="1"/>
  <c r="W153" i="1"/>
  <c r="X153" i="1" s="1"/>
  <c r="X28" i="1"/>
  <c r="X2" i="1"/>
  <c r="W11" i="1"/>
  <c r="X11" i="1" s="1"/>
  <c r="W47" i="1"/>
  <c r="X47" i="1" s="1"/>
  <c r="W99" i="1"/>
  <c r="X99" i="1" s="1"/>
  <c r="W143" i="1"/>
  <c r="X143" i="1" s="1"/>
  <c r="W191" i="1"/>
  <c r="X191" i="1" s="1"/>
  <c r="W247" i="1"/>
  <c r="X247" i="1" s="1"/>
  <c r="W198" i="1"/>
  <c r="X198" i="1" s="1"/>
  <c r="X66" i="1"/>
  <c r="X246" i="1"/>
  <c r="W74" i="1"/>
  <c r="X74" i="1" s="1"/>
  <c r="W57" i="1"/>
  <c r="X57" i="1" s="1"/>
  <c r="W233" i="1"/>
  <c r="X233" i="1" s="1"/>
  <c r="X59" i="1"/>
  <c r="X163" i="1"/>
  <c r="W98" i="1"/>
  <c r="X98" i="1" s="1"/>
  <c r="W3" i="1"/>
  <c r="X3" i="1" s="1"/>
  <c r="W95" i="1"/>
  <c r="X95" i="1" s="1"/>
  <c r="W159" i="1"/>
  <c r="X159" i="1" s="1"/>
  <c r="W73" i="1"/>
  <c r="X73" i="1" s="1"/>
  <c r="W105" i="1"/>
  <c r="X105" i="1" s="1"/>
  <c r="W185" i="1"/>
  <c r="X185" i="1" s="1"/>
  <c r="W217" i="1"/>
  <c r="X217" i="1" s="1"/>
  <c r="W30" i="1"/>
  <c r="X30" i="1" s="1"/>
  <c r="W19" i="1"/>
  <c r="X19" i="1" s="1"/>
  <c r="W35" i="1"/>
  <c r="X35" i="1" s="1"/>
  <c r="W51" i="1"/>
  <c r="X51" i="1" s="1"/>
  <c r="W67" i="1"/>
  <c r="X67" i="1" s="1"/>
  <c r="W83" i="1"/>
  <c r="X83" i="1" s="1"/>
  <c r="W115" i="1"/>
  <c r="X115" i="1" s="1"/>
  <c r="W147" i="1"/>
  <c r="X147" i="1" s="1"/>
  <c r="W179" i="1"/>
  <c r="X179" i="1" s="1"/>
  <c r="W195" i="1"/>
  <c r="X195" i="1" s="1"/>
  <c r="W211" i="1"/>
  <c r="X211" i="1" s="1"/>
  <c r="W227" i="1"/>
  <c r="X227" i="1" s="1"/>
  <c r="W243" i="1"/>
  <c r="X243" i="1" s="1"/>
  <c r="W16" i="1"/>
  <c r="X16" i="1" s="1"/>
  <c r="W32" i="1"/>
  <c r="X32" i="1" s="1"/>
  <c r="W52" i="1"/>
  <c r="X52" i="1" s="1"/>
  <c r="W84" i="1"/>
  <c r="X84" i="1" s="1"/>
  <c r="W116" i="1"/>
  <c r="X116" i="1" s="1"/>
  <c r="W148" i="1"/>
  <c r="X148" i="1" s="1"/>
  <c r="W180" i="1"/>
  <c r="X180" i="1" s="1"/>
  <c r="W244" i="1"/>
  <c r="X244" i="1" s="1"/>
  <c r="W22" i="1"/>
  <c r="X22" i="1" s="1"/>
  <c r="W110" i="1"/>
  <c r="X110" i="1" s="1"/>
  <c r="W142" i="1"/>
  <c r="X142" i="1" s="1"/>
  <c r="W238" i="1"/>
  <c r="X238" i="1" s="1"/>
  <c r="W29" i="1"/>
  <c r="X29" i="1" s="1"/>
  <c r="W61" i="1"/>
  <c r="X61" i="1" s="1"/>
  <c r="W93" i="1"/>
  <c r="X93" i="1" s="1"/>
  <c r="W109" i="1"/>
  <c r="X109" i="1" s="1"/>
  <c r="W125" i="1"/>
  <c r="X125" i="1" s="1"/>
  <c r="W141" i="1"/>
  <c r="X141" i="1" s="1"/>
  <c r="W157" i="1"/>
  <c r="X157" i="1" s="1"/>
  <c r="W173" i="1"/>
  <c r="X173" i="1" s="1"/>
  <c r="W189" i="1"/>
  <c r="X189" i="1" s="1"/>
  <c r="W237" i="1"/>
  <c r="X237" i="1" s="1"/>
  <c r="W38" i="1"/>
  <c r="X38" i="1" s="1"/>
  <c r="W70" i="1"/>
  <c r="X70" i="1" s="1"/>
  <c r="W106" i="1"/>
  <c r="X106" i="1" s="1"/>
  <c r="W138" i="1"/>
  <c r="X138" i="1" s="1"/>
  <c r="W170" i="1"/>
  <c r="X170" i="1" s="1"/>
  <c r="W174" i="1"/>
  <c r="X174" i="1" s="1"/>
  <c r="W41" i="1"/>
  <c r="X41" i="1" s="1"/>
  <c r="W7" i="1"/>
  <c r="X7" i="1" s="1"/>
  <c r="W23" i="1"/>
  <c r="X23" i="1" s="1"/>
  <c r="W39" i="1"/>
  <c r="X39" i="1" s="1"/>
  <c r="W55" i="1"/>
  <c r="X55" i="1" s="1"/>
  <c r="W71" i="1"/>
  <c r="X71" i="1" s="1"/>
  <c r="W87" i="1"/>
  <c r="X87" i="1" s="1"/>
  <c r="W103" i="1"/>
  <c r="X103" i="1" s="1"/>
  <c r="W119" i="1"/>
  <c r="X119" i="1" s="1"/>
  <c r="W135" i="1"/>
  <c r="X135" i="1" s="1"/>
  <c r="W167" i="1"/>
  <c r="X167" i="1" s="1"/>
  <c r="W183" i="1"/>
  <c r="X183" i="1" s="1"/>
  <c r="W199" i="1"/>
  <c r="X199" i="1" s="1"/>
  <c r="W215" i="1"/>
  <c r="X215" i="1" s="1"/>
  <c r="W231" i="1"/>
  <c r="X231" i="1" s="1"/>
  <c r="W158" i="1"/>
  <c r="X158" i="1" s="1"/>
  <c r="W214" i="1"/>
  <c r="X214" i="1" s="1"/>
  <c r="W4" i="1"/>
  <c r="X4" i="1" s="1"/>
  <c r="W20" i="1"/>
  <c r="X20" i="1" s="1"/>
  <c r="W36" i="1"/>
  <c r="X36" i="1" s="1"/>
  <c r="W56" i="1"/>
  <c r="X56" i="1" s="1"/>
  <c r="W58" i="1"/>
  <c r="X58" i="1" s="1"/>
  <c r="W86" i="1"/>
  <c r="X86" i="1" s="1"/>
  <c r="W190" i="1"/>
  <c r="X190" i="1" s="1"/>
  <c r="W17" i="1"/>
  <c r="X17" i="1" s="1"/>
  <c r="W33" i="1"/>
  <c r="X33" i="1" s="1"/>
  <c r="W49" i="1"/>
  <c r="X49" i="1" s="1"/>
  <c r="W65" i="1"/>
  <c r="X65" i="1" s="1"/>
  <c r="W81" i="1"/>
  <c r="X81" i="1" s="1"/>
  <c r="W97" i="1"/>
  <c r="X97" i="1" s="1"/>
  <c r="W113" i="1"/>
  <c r="X113" i="1" s="1"/>
  <c r="W129" i="1"/>
  <c r="X129" i="1" s="1"/>
  <c r="W145" i="1"/>
  <c r="X145" i="1" s="1"/>
  <c r="W161" i="1"/>
  <c r="X161" i="1" s="1"/>
  <c r="W177" i="1"/>
  <c r="X177" i="1" s="1"/>
  <c r="W193" i="1"/>
  <c r="X193" i="1" s="1"/>
  <c r="W209" i="1"/>
  <c r="X209" i="1" s="1"/>
  <c r="W225" i="1"/>
  <c r="X225" i="1" s="1"/>
  <c r="W241" i="1"/>
  <c r="X241" i="1" s="1"/>
  <c r="W10" i="1"/>
  <c r="X10" i="1" s="1"/>
  <c r="W230" i="1"/>
  <c r="X230" i="1" s="1"/>
  <c r="W31" i="1"/>
  <c r="X31" i="1" s="1"/>
  <c r="W79" i="1"/>
  <c r="X79" i="1" s="1"/>
  <c r="W42" i="1"/>
  <c r="X42" i="1" s="1"/>
  <c r="W134" i="1"/>
  <c r="X134" i="1" s="1"/>
  <c r="W9" i="1"/>
  <c r="X9" i="1" s="1"/>
  <c r="W137" i="1"/>
  <c r="X137" i="1" s="1"/>
  <c r="W169" i="1"/>
  <c r="X169" i="1" s="1"/>
  <c r="W75" i="1"/>
  <c r="X75" i="1" s="1"/>
  <c r="W107" i="1"/>
  <c r="X107" i="1" s="1"/>
  <c r="W123" i="1"/>
  <c r="X123" i="1" s="1"/>
  <c r="W139" i="1"/>
  <c r="X139" i="1" s="1"/>
  <c r="W155" i="1"/>
  <c r="X155" i="1" s="1"/>
  <c r="W171" i="1"/>
  <c r="X171" i="1" s="1"/>
  <c r="W187" i="1"/>
  <c r="X187" i="1" s="1"/>
  <c r="W203" i="1"/>
  <c r="X203" i="1" s="1"/>
  <c r="W219" i="1"/>
  <c r="X219" i="1" s="1"/>
  <c r="W235" i="1"/>
  <c r="X235" i="1" s="1"/>
  <c r="W251" i="1"/>
  <c r="X251" i="1" s="1"/>
  <c r="W8" i="1"/>
  <c r="X8" i="1" s="1"/>
  <c r="W24" i="1"/>
  <c r="X24" i="1" s="1"/>
  <c r="W40" i="1"/>
  <c r="X40" i="1" s="1"/>
  <c r="W60" i="1"/>
  <c r="X60" i="1" s="1"/>
  <c r="W76" i="1"/>
  <c r="X76" i="1" s="1"/>
  <c r="W92" i="1"/>
  <c r="X92" i="1" s="1"/>
  <c r="W124" i="1"/>
  <c r="X124" i="1" s="1"/>
  <c r="W156" i="1"/>
  <c r="X156" i="1" s="1"/>
  <c r="W204" i="1"/>
  <c r="X204" i="1" s="1"/>
  <c r="W6" i="1"/>
  <c r="X6" i="1" s="1"/>
  <c r="W34" i="1"/>
  <c r="X34" i="1" s="1"/>
  <c r="W62" i="1"/>
  <c r="X62" i="1" s="1"/>
  <c r="W94" i="1"/>
  <c r="X94" i="1" s="1"/>
  <c r="W130" i="1"/>
  <c r="X130" i="1" s="1"/>
  <c r="W162" i="1"/>
  <c r="X162" i="1" s="1"/>
  <c r="W5" i="1"/>
  <c r="X5" i="1" s="1"/>
  <c r="W21" i="1"/>
  <c r="X21" i="1" s="1"/>
  <c r="W37" i="1"/>
  <c r="X37" i="1" s="1"/>
  <c r="W53" i="1"/>
  <c r="X53" i="1" s="1"/>
  <c r="W69" i="1"/>
  <c r="W101" i="1"/>
  <c r="X101" i="1" s="1"/>
  <c r="W133" i="1"/>
  <c r="X133" i="1" s="1"/>
  <c r="W149" i="1"/>
  <c r="X149" i="1" s="1"/>
  <c r="W181" i="1"/>
  <c r="X181" i="1" s="1"/>
  <c r="W213" i="1"/>
  <c r="X213" i="1" s="1"/>
  <c r="W229" i="1"/>
  <c r="X229" i="1" s="1"/>
  <c r="W245" i="1"/>
  <c r="X245" i="1" s="1"/>
  <c r="W54" i="1"/>
  <c r="X54" i="1" s="1"/>
  <c r="U253" i="1"/>
  <c r="Q253" i="1"/>
  <c r="R253" i="1"/>
  <c r="X253" i="1" l="1"/>
  <c r="W253" i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3" i="2"/>
  <c r="C2" i="2"/>
  <c r="C2" i="3" l="1"/>
  <c r="S2" i="2"/>
  <c r="T2" i="2"/>
  <c r="V2" i="2"/>
  <c r="C249" i="3"/>
  <c r="S249" i="2"/>
  <c r="W249" i="2" s="1"/>
  <c r="T249" i="2"/>
  <c r="V249" i="2"/>
  <c r="X249" i="2" s="1"/>
  <c r="C245" i="3"/>
  <c r="V245" i="2"/>
  <c r="T245" i="2"/>
  <c r="S245" i="2"/>
  <c r="W245" i="2" s="1"/>
  <c r="C241" i="3"/>
  <c r="S241" i="2"/>
  <c r="W241" i="2" s="1"/>
  <c r="T241" i="2"/>
  <c r="V241" i="2"/>
  <c r="X241" i="2" s="1"/>
  <c r="C237" i="3"/>
  <c r="T237" i="2"/>
  <c r="S237" i="2"/>
  <c r="W237" i="2" s="1"/>
  <c r="V237" i="2"/>
  <c r="X237" i="2" s="1"/>
  <c r="C233" i="3"/>
  <c r="S233" i="2"/>
  <c r="W233" i="2" s="1"/>
  <c r="T233" i="2"/>
  <c r="V233" i="2"/>
  <c r="X233" i="2" s="1"/>
  <c r="C229" i="3"/>
  <c r="T229" i="2"/>
  <c r="V229" i="2"/>
  <c r="S229" i="2"/>
  <c r="W229" i="2" s="1"/>
  <c r="C225" i="3"/>
  <c r="V225" i="2"/>
  <c r="S225" i="2"/>
  <c r="W225" i="2" s="1"/>
  <c r="T225" i="2"/>
  <c r="C221" i="3"/>
  <c r="T221" i="2"/>
  <c r="S221" i="2"/>
  <c r="W221" i="2" s="1"/>
  <c r="V221" i="2"/>
  <c r="X221" i="2" s="1"/>
  <c r="C217" i="3"/>
  <c r="S217" i="2"/>
  <c r="W217" i="2" s="1"/>
  <c r="T217" i="2"/>
  <c r="V217" i="2"/>
  <c r="X217" i="2" s="1"/>
  <c r="C213" i="3"/>
  <c r="S213" i="2"/>
  <c r="W213" i="2" s="1"/>
  <c r="V213" i="2"/>
  <c r="X213" i="2" s="1"/>
  <c r="T213" i="2"/>
  <c r="C209" i="3"/>
  <c r="T209" i="2"/>
  <c r="V209" i="2"/>
  <c r="S209" i="2"/>
  <c r="W209" i="2" s="1"/>
  <c r="C205" i="3"/>
  <c r="T205" i="2"/>
  <c r="S205" i="2"/>
  <c r="W205" i="2" s="1"/>
  <c r="V205" i="2"/>
  <c r="X205" i="2" s="1"/>
  <c r="C201" i="3"/>
  <c r="S201" i="2"/>
  <c r="W201" i="2" s="1"/>
  <c r="T201" i="2"/>
  <c r="V201" i="2"/>
  <c r="X201" i="2" s="1"/>
  <c r="C197" i="3"/>
  <c r="T197" i="2"/>
  <c r="V197" i="2"/>
  <c r="S197" i="2"/>
  <c r="W197" i="2" s="1"/>
  <c r="C193" i="3"/>
  <c r="S193" i="2"/>
  <c r="W193" i="2" s="1"/>
  <c r="V193" i="2"/>
  <c r="X193" i="2" s="1"/>
  <c r="T193" i="2"/>
  <c r="C189" i="3"/>
  <c r="T189" i="2"/>
  <c r="V189" i="2"/>
  <c r="S189" i="2"/>
  <c r="W189" i="2" s="1"/>
  <c r="C185" i="3"/>
  <c r="S185" i="2"/>
  <c r="W185" i="2" s="1"/>
  <c r="T185" i="2"/>
  <c r="V185" i="2"/>
  <c r="X185" i="2" s="1"/>
  <c r="C181" i="3"/>
  <c r="V181" i="2"/>
  <c r="S181" i="2"/>
  <c r="W181" i="2" s="1"/>
  <c r="T181" i="2"/>
  <c r="C177" i="3"/>
  <c r="S177" i="2"/>
  <c r="W177" i="2" s="1"/>
  <c r="T177" i="2"/>
  <c r="V177" i="2"/>
  <c r="X177" i="2" s="1"/>
  <c r="C173" i="3"/>
  <c r="T173" i="2"/>
  <c r="S173" i="2"/>
  <c r="W173" i="2" s="1"/>
  <c r="V173" i="2"/>
  <c r="X173" i="2" s="1"/>
  <c r="C169" i="3"/>
  <c r="S169" i="2"/>
  <c r="W169" i="2" s="1"/>
  <c r="T169" i="2"/>
  <c r="V169" i="2"/>
  <c r="X169" i="2" s="1"/>
  <c r="C165" i="3"/>
  <c r="T165" i="2"/>
  <c r="V165" i="2"/>
  <c r="S165" i="2"/>
  <c r="W165" i="2" s="1"/>
  <c r="C161" i="3"/>
  <c r="V161" i="2"/>
  <c r="T161" i="2"/>
  <c r="S161" i="2"/>
  <c r="W161" i="2" s="1"/>
  <c r="C157" i="3"/>
  <c r="T157" i="2"/>
  <c r="S157" i="2"/>
  <c r="W157" i="2" s="1"/>
  <c r="V157" i="2"/>
  <c r="X157" i="2" s="1"/>
  <c r="C153" i="3"/>
  <c r="S153" i="2"/>
  <c r="W153" i="2" s="1"/>
  <c r="T153" i="2"/>
  <c r="V153" i="2"/>
  <c r="X153" i="2" s="1"/>
  <c r="C149" i="3"/>
  <c r="S149" i="2"/>
  <c r="W149" i="2" s="1"/>
  <c r="V149" i="2"/>
  <c r="X149" i="2" s="1"/>
  <c r="T149" i="2"/>
  <c r="C145" i="3"/>
  <c r="T145" i="2"/>
  <c r="V145" i="2"/>
  <c r="S145" i="2"/>
  <c r="W145" i="2" s="1"/>
  <c r="C141" i="3"/>
  <c r="T141" i="2"/>
  <c r="S141" i="2"/>
  <c r="W141" i="2" s="1"/>
  <c r="V141" i="2"/>
  <c r="X141" i="2" s="1"/>
  <c r="C137" i="3"/>
  <c r="S137" i="2"/>
  <c r="W137" i="2" s="1"/>
  <c r="T137" i="2"/>
  <c r="V137" i="2"/>
  <c r="X137" i="2" s="1"/>
  <c r="C133" i="3"/>
  <c r="T133" i="2"/>
  <c r="V133" i="2"/>
  <c r="S133" i="2"/>
  <c r="W133" i="2" s="1"/>
  <c r="C129" i="3"/>
  <c r="S129" i="2"/>
  <c r="W129" i="2" s="1"/>
  <c r="V129" i="2"/>
  <c r="X129" i="2" s="1"/>
  <c r="T129" i="2"/>
  <c r="C125" i="3"/>
  <c r="T125" i="2"/>
  <c r="V125" i="2"/>
  <c r="S125" i="2"/>
  <c r="W125" i="2" s="1"/>
  <c r="C121" i="3"/>
  <c r="S121" i="2"/>
  <c r="W121" i="2" s="1"/>
  <c r="T121" i="2"/>
  <c r="V121" i="2"/>
  <c r="X121" i="2" s="1"/>
  <c r="C117" i="3"/>
  <c r="V117" i="2"/>
  <c r="T117" i="2"/>
  <c r="S117" i="2"/>
  <c r="W117" i="2" s="1"/>
  <c r="C113" i="3"/>
  <c r="S113" i="2"/>
  <c r="W113" i="2" s="1"/>
  <c r="T113" i="2"/>
  <c r="V113" i="2"/>
  <c r="X113" i="2" s="1"/>
  <c r="C109" i="3"/>
  <c r="T109" i="2"/>
  <c r="S109" i="2"/>
  <c r="W109" i="2" s="1"/>
  <c r="V109" i="2"/>
  <c r="C105" i="3"/>
  <c r="S105" i="2"/>
  <c r="W105" i="2" s="1"/>
  <c r="T105" i="2"/>
  <c r="V105" i="2"/>
  <c r="X105" i="2" s="1"/>
  <c r="C101" i="3"/>
  <c r="T101" i="2"/>
  <c r="V101" i="2"/>
  <c r="S101" i="2"/>
  <c r="W101" i="2" s="1"/>
  <c r="C97" i="3"/>
  <c r="V97" i="2"/>
  <c r="T97" i="2"/>
  <c r="S97" i="2"/>
  <c r="W97" i="2" s="1"/>
  <c r="C93" i="3"/>
  <c r="T93" i="2"/>
  <c r="S93" i="2"/>
  <c r="W93" i="2" s="1"/>
  <c r="V93" i="2"/>
  <c r="C89" i="3"/>
  <c r="S89" i="2"/>
  <c r="W89" i="2" s="1"/>
  <c r="T89" i="2"/>
  <c r="V89" i="2"/>
  <c r="X89" i="2" s="1"/>
  <c r="C85" i="3"/>
  <c r="S85" i="2"/>
  <c r="W85" i="2" s="1"/>
  <c r="V85" i="2"/>
  <c r="X85" i="2" s="1"/>
  <c r="T85" i="2"/>
  <c r="C81" i="3"/>
  <c r="S81" i="2"/>
  <c r="W81" i="2" s="1"/>
  <c r="T81" i="2"/>
  <c r="V81" i="2"/>
  <c r="X81" i="2" s="1"/>
  <c r="C77" i="3"/>
  <c r="T77" i="2"/>
  <c r="S77" i="2"/>
  <c r="W77" i="2" s="1"/>
  <c r="V77" i="2"/>
  <c r="C73" i="3"/>
  <c r="S73" i="2"/>
  <c r="W73" i="2" s="1"/>
  <c r="T73" i="2"/>
  <c r="V73" i="2"/>
  <c r="X73" i="2" s="1"/>
  <c r="C69" i="3"/>
  <c r="S69" i="2"/>
  <c r="W69" i="2" s="1"/>
  <c r="T69" i="2"/>
  <c r="V69" i="2"/>
  <c r="X69" i="2" s="1"/>
  <c r="C65" i="3"/>
  <c r="S65" i="2"/>
  <c r="W65" i="2" s="1"/>
  <c r="V65" i="2"/>
  <c r="X65" i="2" s="1"/>
  <c r="T65" i="2"/>
  <c r="C61" i="3"/>
  <c r="T61" i="2"/>
  <c r="V61" i="2"/>
  <c r="S61" i="2"/>
  <c r="W61" i="2" s="1"/>
  <c r="C57" i="3"/>
  <c r="S57" i="2"/>
  <c r="W57" i="2" s="1"/>
  <c r="T57" i="2"/>
  <c r="V57" i="2"/>
  <c r="X57" i="2" s="1"/>
  <c r="C53" i="3"/>
  <c r="S53" i="2"/>
  <c r="W53" i="2" s="1"/>
  <c r="V53" i="2"/>
  <c r="X53" i="2" s="1"/>
  <c r="T53" i="2"/>
  <c r="C49" i="3"/>
  <c r="T49" i="2"/>
  <c r="V49" i="2"/>
  <c r="S49" i="2"/>
  <c r="W49" i="2" s="1"/>
  <c r="C45" i="3"/>
  <c r="T45" i="2"/>
  <c r="S45" i="2"/>
  <c r="W45" i="2" s="1"/>
  <c r="V45" i="2"/>
  <c r="C41" i="3"/>
  <c r="S41" i="2"/>
  <c r="W41" i="2" s="1"/>
  <c r="T41" i="2"/>
  <c r="V41" i="2"/>
  <c r="X41" i="2" s="1"/>
  <c r="C37" i="3"/>
  <c r="S37" i="2"/>
  <c r="W37" i="2" s="1"/>
  <c r="T37" i="2"/>
  <c r="V37" i="2"/>
  <c r="X37" i="2" s="1"/>
  <c r="C33" i="3"/>
  <c r="S33" i="2"/>
  <c r="W33" i="2" s="1"/>
  <c r="V33" i="2"/>
  <c r="X33" i="2" s="1"/>
  <c r="T33" i="2"/>
  <c r="C29" i="3"/>
  <c r="T29" i="2"/>
  <c r="V29" i="2"/>
  <c r="S29" i="2"/>
  <c r="W29" i="2" s="1"/>
  <c r="C25" i="3"/>
  <c r="S25" i="2"/>
  <c r="W25" i="2" s="1"/>
  <c r="T25" i="2"/>
  <c r="V25" i="2"/>
  <c r="X25" i="2" s="1"/>
  <c r="C21" i="3"/>
  <c r="S21" i="2"/>
  <c r="W21" i="2" s="1"/>
  <c r="V21" i="2"/>
  <c r="X21" i="2" s="1"/>
  <c r="T21" i="2"/>
  <c r="C17" i="3"/>
  <c r="S17" i="2"/>
  <c r="W17" i="2" s="1"/>
  <c r="T17" i="2"/>
  <c r="V17" i="2"/>
  <c r="X17" i="2" s="1"/>
  <c r="C13" i="3"/>
  <c r="T13" i="2"/>
  <c r="S13" i="2"/>
  <c r="W13" i="2" s="1"/>
  <c r="V13" i="2"/>
  <c r="C9" i="3"/>
  <c r="S9" i="2"/>
  <c r="W9" i="2" s="1"/>
  <c r="T9" i="2"/>
  <c r="V9" i="2"/>
  <c r="X9" i="2" s="1"/>
  <c r="C5" i="3"/>
  <c r="S5" i="2"/>
  <c r="W5" i="2" s="1"/>
  <c r="T5" i="2"/>
  <c r="V5" i="2"/>
  <c r="X5" i="2" s="1"/>
  <c r="C3" i="3"/>
  <c r="T3" i="2"/>
  <c r="S3" i="2"/>
  <c r="W3" i="2" s="1"/>
  <c r="V3" i="2"/>
  <c r="C248" i="3"/>
  <c r="S248" i="2"/>
  <c r="W248" i="2" s="1"/>
  <c r="T248" i="2"/>
  <c r="V248" i="2"/>
  <c r="X248" i="2" s="1"/>
  <c r="C244" i="3"/>
  <c r="S244" i="2"/>
  <c r="W244" i="2" s="1"/>
  <c r="T244" i="2"/>
  <c r="V244" i="2"/>
  <c r="X244" i="2" s="1"/>
  <c r="C240" i="3"/>
  <c r="S240" i="2"/>
  <c r="W240" i="2" s="1"/>
  <c r="T240" i="2"/>
  <c r="V240" i="2"/>
  <c r="X240" i="2" s="1"/>
  <c r="C236" i="3"/>
  <c r="S236" i="2"/>
  <c r="W236" i="2" s="1"/>
  <c r="V236" i="2"/>
  <c r="X236" i="2" s="1"/>
  <c r="T236" i="2"/>
  <c r="C232" i="3"/>
  <c r="S232" i="2"/>
  <c r="W232" i="2" s="1"/>
  <c r="T232" i="2"/>
  <c r="V232" i="2"/>
  <c r="X232" i="2" s="1"/>
  <c r="C228" i="3"/>
  <c r="S228" i="2"/>
  <c r="W228" i="2" s="1"/>
  <c r="T228" i="2"/>
  <c r="V228" i="2"/>
  <c r="X228" i="2" s="1"/>
  <c r="C224" i="3"/>
  <c r="S224" i="2"/>
  <c r="W224" i="2" s="1"/>
  <c r="V224" i="2"/>
  <c r="X224" i="2" s="1"/>
  <c r="T224" i="2"/>
  <c r="C220" i="3"/>
  <c r="S220" i="2"/>
  <c r="W220" i="2" s="1"/>
  <c r="T220" i="2"/>
  <c r="V220" i="2"/>
  <c r="X220" i="2" s="1"/>
  <c r="C216" i="3"/>
  <c r="S216" i="2"/>
  <c r="W216" i="2" s="1"/>
  <c r="T216" i="2"/>
  <c r="V216" i="2"/>
  <c r="X216" i="2" s="1"/>
  <c r="C212" i="3"/>
  <c r="S212" i="2"/>
  <c r="W212" i="2" s="1"/>
  <c r="T212" i="2"/>
  <c r="V212" i="2"/>
  <c r="X212" i="2" s="1"/>
  <c r="C208" i="3"/>
  <c r="S208" i="2"/>
  <c r="W208" i="2" s="1"/>
  <c r="T208" i="2"/>
  <c r="V208" i="2"/>
  <c r="X208" i="2" s="1"/>
  <c r="C204" i="3"/>
  <c r="S204" i="2"/>
  <c r="W204" i="2" s="1"/>
  <c r="V204" i="2"/>
  <c r="X204" i="2" s="1"/>
  <c r="T204" i="2"/>
  <c r="C200" i="3"/>
  <c r="S200" i="2"/>
  <c r="W200" i="2" s="1"/>
  <c r="T200" i="2"/>
  <c r="V200" i="2"/>
  <c r="X200" i="2" s="1"/>
  <c r="C196" i="3"/>
  <c r="S196" i="2"/>
  <c r="W196" i="2" s="1"/>
  <c r="T196" i="2"/>
  <c r="V196" i="2"/>
  <c r="X196" i="2" s="1"/>
  <c r="C192" i="3"/>
  <c r="S192" i="2"/>
  <c r="W192" i="2" s="1"/>
  <c r="V192" i="2"/>
  <c r="X192" i="2" s="1"/>
  <c r="T192" i="2"/>
  <c r="C188" i="3"/>
  <c r="S188" i="2"/>
  <c r="W188" i="2" s="1"/>
  <c r="T188" i="2"/>
  <c r="V188" i="2"/>
  <c r="X188" i="2" s="1"/>
  <c r="C184" i="3"/>
  <c r="S184" i="2"/>
  <c r="W184" i="2" s="1"/>
  <c r="T184" i="2"/>
  <c r="V184" i="2"/>
  <c r="X184" i="2" s="1"/>
  <c r="C180" i="3"/>
  <c r="S180" i="2"/>
  <c r="W180" i="2" s="1"/>
  <c r="T180" i="2"/>
  <c r="V180" i="2"/>
  <c r="X180" i="2" s="1"/>
  <c r="C176" i="3"/>
  <c r="S176" i="2"/>
  <c r="W176" i="2" s="1"/>
  <c r="T176" i="2"/>
  <c r="V176" i="2"/>
  <c r="X176" i="2" s="1"/>
  <c r="C172" i="3"/>
  <c r="S172" i="2"/>
  <c r="W172" i="2" s="1"/>
  <c r="V172" i="2"/>
  <c r="X172" i="2" s="1"/>
  <c r="T172" i="2"/>
  <c r="C168" i="3"/>
  <c r="S168" i="2"/>
  <c r="W168" i="2" s="1"/>
  <c r="T168" i="2"/>
  <c r="V168" i="2"/>
  <c r="X168" i="2" s="1"/>
  <c r="C164" i="3"/>
  <c r="S164" i="2"/>
  <c r="W164" i="2" s="1"/>
  <c r="T164" i="2"/>
  <c r="V164" i="2"/>
  <c r="X164" i="2" s="1"/>
  <c r="C160" i="3"/>
  <c r="S160" i="2"/>
  <c r="W160" i="2" s="1"/>
  <c r="V160" i="2"/>
  <c r="X160" i="2" s="1"/>
  <c r="T160" i="2"/>
  <c r="C156" i="3"/>
  <c r="S156" i="2"/>
  <c r="W156" i="2" s="1"/>
  <c r="T156" i="2"/>
  <c r="V156" i="2"/>
  <c r="X156" i="2" s="1"/>
  <c r="C152" i="3"/>
  <c r="S152" i="2"/>
  <c r="W152" i="2" s="1"/>
  <c r="T152" i="2"/>
  <c r="V152" i="2"/>
  <c r="X152" i="2" s="1"/>
  <c r="C148" i="3"/>
  <c r="S148" i="2"/>
  <c r="W148" i="2" s="1"/>
  <c r="T148" i="2"/>
  <c r="V148" i="2"/>
  <c r="X148" i="2" s="1"/>
  <c r="C144" i="3"/>
  <c r="S144" i="2"/>
  <c r="W144" i="2" s="1"/>
  <c r="T144" i="2"/>
  <c r="V144" i="2"/>
  <c r="X144" i="2" s="1"/>
  <c r="C140" i="3"/>
  <c r="S140" i="2"/>
  <c r="W140" i="2" s="1"/>
  <c r="V140" i="2"/>
  <c r="X140" i="2" s="1"/>
  <c r="T140" i="2"/>
  <c r="C136" i="3"/>
  <c r="S136" i="2"/>
  <c r="W136" i="2" s="1"/>
  <c r="T136" i="2"/>
  <c r="V136" i="2"/>
  <c r="X136" i="2" s="1"/>
  <c r="C132" i="3"/>
  <c r="S132" i="2"/>
  <c r="W132" i="2" s="1"/>
  <c r="T132" i="2"/>
  <c r="V132" i="2"/>
  <c r="X132" i="2" s="1"/>
  <c r="C128" i="3"/>
  <c r="S128" i="2"/>
  <c r="W128" i="2" s="1"/>
  <c r="V128" i="2"/>
  <c r="X128" i="2" s="1"/>
  <c r="T128" i="2"/>
  <c r="C124" i="3"/>
  <c r="S124" i="2"/>
  <c r="W124" i="2" s="1"/>
  <c r="T124" i="2"/>
  <c r="V124" i="2"/>
  <c r="X124" i="2" s="1"/>
  <c r="C120" i="3"/>
  <c r="S120" i="2"/>
  <c r="W120" i="2" s="1"/>
  <c r="T120" i="2"/>
  <c r="V120" i="2"/>
  <c r="X120" i="2" s="1"/>
  <c r="C116" i="3"/>
  <c r="S116" i="2"/>
  <c r="W116" i="2" s="1"/>
  <c r="T116" i="2"/>
  <c r="V116" i="2"/>
  <c r="X116" i="2" s="1"/>
  <c r="C112" i="3"/>
  <c r="S112" i="2"/>
  <c r="W112" i="2" s="1"/>
  <c r="T112" i="2"/>
  <c r="V112" i="2"/>
  <c r="X112" i="2" s="1"/>
  <c r="C108" i="3"/>
  <c r="S108" i="2"/>
  <c r="W108" i="2" s="1"/>
  <c r="V108" i="2"/>
  <c r="X108" i="2" s="1"/>
  <c r="T108" i="2"/>
  <c r="C104" i="3"/>
  <c r="S104" i="2"/>
  <c r="W104" i="2" s="1"/>
  <c r="T104" i="2"/>
  <c r="V104" i="2"/>
  <c r="X104" i="2" s="1"/>
  <c r="C100" i="3"/>
  <c r="S100" i="2"/>
  <c r="W100" i="2" s="1"/>
  <c r="T100" i="2"/>
  <c r="V100" i="2"/>
  <c r="X100" i="2" s="1"/>
  <c r="C96" i="3"/>
  <c r="S96" i="2"/>
  <c r="W96" i="2" s="1"/>
  <c r="V96" i="2"/>
  <c r="X96" i="2" s="1"/>
  <c r="T96" i="2"/>
  <c r="C92" i="3"/>
  <c r="S92" i="2"/>
  <c r="W92" i="2" s="1"/>
  <c r="T92" i="2"/>
  <c r="V92" i="2"/>
  <c r="X92" i="2" s="1"/>
  <c r="C88" i="3"/>
  <c r="S88" i="2"/>
  <c r="W88" i="2" s="1"/>
  <c r="T88" i="2"/>
  <c r="V88" i="2"/>
  <c r="X88" i="2" s="1"/>
  <c r="C84" i="3"/>
  <c r="S84" i="2"/>
  <c r="W84" i="2" s="1"/>
  <c r="T84" i="2"/>
  <c r="V84" i="2"/>
  <c r="X84" i="2" s="1"/>
  <c r="C80" i="3"/>
  <c r="S80" i="2"/>
  <c r="W80" i="2" s="1"/>
  <c r="T80" i="2"/>
  <c r="V80" i="2"/>
  <c r="X80" i="2" s="1"/>
  <c r="C76" i="3"/>
  <c r="S76" i="2"/>
  <c r="W76" i="2" s="1"/>
  <c r="V76" i="2"/>
  <c r="X76" i="2" s="1"/>
  <c r="T76" i="2"/>
  <c r="C72" i="3"/>
  <c r="S72" i="2"/>
  <c r="W72" i="2" s="1"/>
  <c r="T72" i="2"/>
  <c r="V72" i="2"/>
  <c r="X72" i="2" s="1"/>
  <c r="C68" i="3"/>
  <c r="S68" i="2"/>
  <c r="W68" i="2" s="1"/>
  <c r="T68" i="2"/>
  <c r="V68" i="2"/>
  <c r="X68" i="2" s="1"/>
  <c r="C64" i="3"/>
  <c r="S64" i="2"/>
  <c r="W64" i="2" s="1"/>
  <c r="V64" i="2"/>
  <c r="X64" i="2" s="1"/>
  <c r="T64" i="2"/>
  <c r="C60" i="3"/>
  <c r="S60" i="2"/>
  <c r="W60" i="2" s="1"/>
  <c r="T60" i="2"/>
  <c r="V60" i="2"/>
  <c r="X60" i="2" s="1"/>
  <c r="C56" i="3"/>
  <c r="S56" i="2"/>
  <c r="W56" i="2" s="1"/>
  <c r="T56" i="2"/>
  <c r="V56" i="2"/>
  <c r="X56" i="2" s="1"/>
  <c r="C52" i="3"/>
  <c r="S52" i="2"/>
  <c r="W52" i="2" s="1"/>
  <c r="T52" i="2"/>
  <c r="V52" i="2"/>
  <c r="X52" i="2" s="1"/>
  <c r="C48" i="3"/>
  <c r="S48" i="2"/>
  <c r="W48" i="2" s="1"/>
  <c r="T48" i="2"/>
  <c r="V48" i="2"/>
  <c r="X48" i="2" s="1"/>
  <c r="C44" i="3"/>
  <c r="S44" i="2"/>
  <c r="W44" i="2" s="1"/>
  <c r="V44" i="2"/>
  <c r="X44" i="2" s="1"/>
  <c r="T44" i="2"/>
  <c r="C40" i="3"/>
  <c r="S40" i="2"/>
  <c r="W40" i="2" s="1"/>
  <c r="T40" i="2"/>
  <c r="V40" i="2"/>
  <c r="X40" i="2" s="1"/>
  <c r="C36" i="3"/>
  <c r="S36" i="2"/>
  <c r="W36" i="2" s="1"/>
  <c r="T36" i="2"/>
  <c r="V36" i="2"/>
  <c r="X36" i="2" s="1"/>
  <c r="C32" i="3"/>
  <c r="S32" i="2"/>
  <c r="W32" i="2" s="1"/>
  <c r="V32" i="2"/>
  <c r="X32" i="2" s="1"/>
  <c r="T32" i="2"/>
  <c r="C28" i="3"/>
  <c r="S28" i="2"/>
  <c r="W28" i="2" s="1"/>
  <c r="T28" i="2"/>
  <c r="V28" i="2"/>
  <c r="X28" i="2" s="1"/>
  <c r="C24" i="3"/>
  <c r="S24" i="2"/>
  <c r="W24" i="2" s="1"/>
  <c r="T24" i="2"/>
  <c r="V24" i="2"/>
  <c r="X24" i="2" s="1"/>
  <c r="C20" i="3"/>
  <c r="S20" i="2"/>
  <c r="W20" i="2" s="1"/>
  <c r="T20" i="2"/>
  <c r="V20" i="2"/>
  <c r="X20" i="2" s="1"/>
  <c r="C16" i="3"/>
  <c r="S16" i="2"/>
  <c r="W16" i="2" s="1"/>
  <c r="T16" i="2"/>
  <c r="V16" i="2"/>
  <c r="X16" i="2" s="1"/>
  <c r="C12" i="3"/>
  <c r="S12" i="2"/>
  <c r="W12" i="2" s="1"/>
  <c r="V12" i="2"/>
  <c r="X12" i="2" s="1"/>
  <c r="T12" i="2"/>
  <c r="C8" i="3"/>
  <c r="S8" i="2"/>
  <c r="W8" i="2" s="1"/>
  <c r="T8" i="2"/>
  <c r="V8" i="2"/>
  <c r="X8" i="2" s="1"/>
  <c r="C4" i="3"/>
  <c r="S4" i="2"/>
  <c r="W4" i="2" s="1"/>
  <c r="T4" i="2"/>
  <c r="V4" i="2"/>
  <c r="X4" i="2" s="1"/>
  <c r="C251" i="3"/>
  <c r="T251" i="2"/>
  <c r="V251" i="2"/>
  <c r="S251" i="2"/>
  <c r="W251" i="2" s="1"/>
  <c r="C247" i="3"/>
  <c r="S247" i="2"/>
  <c r="W247" i="2" s="1"/>
  <c r="V247" i="2"/>
  <c r="X247" i="2" s="1"/>
  <c r="T247" i="2"/>
  <c r="C243" i="3"/>
  <c r="T243" i="2"/>
  <c r="S243" i="2"/>
  <c r="W243" i="2" s="1"/>
  <c r="V243" i="2"/>
  <c r="X243" i="2" s="1"/>
  <c r="C239" i="3"/>
  <c r="T239" i="2"/>
  <c r="S239" i="2"/>
  <c r="W239" i="2" s="1"/>
  <c r="V239" i="2"/>
  <c r="X239" i="2" s="1"/>
  <c r="C235" i="3"/>
  <c r="V235" i="2"/>
  <c r="S235" i="2"/>
  <c r="W235" i="2" s="1"/>
  <c r="T235" i="2"/>
  <c r="C231" i="3"/>
  <c r="T231" i="2"/>
  <c r="V231" i="2"/>
  <c r="S231" i="2"/>
  <c r="W231" i="2" s="1"/>
  <c r="C227" i="3"/>
  <c r="T227" i="2"/>
  <c r="S227" i="2"/>
  <c r="W227" i="2" s="1"/>
  <c r="V227" i="2"/>
  <c r="X227" i="2" s="1"/>
  <c r="C223" i="3"/>
  <c r="T223" i="2"/>
  <c r="S223" i="2"/>
  <c r="W223" i="2" s="1"/>
  <c r="V223" i="2"/>
  <c r="X223" i="2" s="1"/>
  <c r="C219" i="3"/>
  <c r="T219" i="2"/>
  <c r="S219" i="2"/>
  <c r="W219" i="2" s="1"/>
  <c r="V219" i="2"/>
  <c r="X219" i="2" s="1"/>
  <c r="C215" i="3"/>
  <c r="S215" i="2"/>
  <c r="W215" i="2" s="1"/>
  <c r="V215" i="2"/>
  <c r="X215" i="2" s="1"/>
  <c r="T215" i="2"/>
  <c r="C211" i="3"/>
  <c r="T211" i="2"/>
  <c r="S211" i="2"/>
  <c r="W211" i="2" s="1"/>
  <c r="V211" i="2"/>
  <c r="X211" i="2" s="1"/>
  <c r="C207" i="3"/>
  <c r="T207" i="2"/>
  <c r="S207" i="2"/>
  <c r="W207" i="2" s="1"/>
  <c r="V207" i="2"/>
  <c r="X207" i="2" s="1"/>
  <c r="C203" i="3"/>
  <c r="V203" i="2"/>
  <c r="T203" i="2"/>
  <c r="S203" i="2"/>
  <c r="W203" i="2" s="1"/>
  <c r="C199" i="3"/>
  <c r="T199" i="2"/>
  <c r="S199" i="2"/>
  <c r="W199" i="2" s="1"/>
  <c r="V199" i="2"/>
  <c r="X199" i="2" s="1"/>
  <c r="C195" i="3"/>
  <c r="T195" i="2"/>
  <c r="S195" i="2"/>
  <c r="W195" i="2" s="1"/>
  <c r="V195" i="2"/>
  <c r="X195" i="2" s="1"/>
  <c r="C191" i="3"/>
  <c r="T191" i="2"/>
  <c r="S191" i="2"/>
  <c r="W191" i="2" s="1"/>
  <c r="V191" i="2"/>
  <c r="X191" i="2" s="1"/>
  <c r="C187" i="3"/>
  <c r="T187" i="2"/>
  <c r="V187" i="2"/>
  <c r="S187" i="2"/>
  <c r="W187" i="2" s="1"/>
  <c r="C183" i="3"/>
  <c r="S183" i="2"/>
  <c r="W183" i="2" s="1"/>
  <c r="V183" i="2"/>
  <c r="X183" i="2" s="1"/>
  <c r="T183" i="2"/>
  <c r="C179" i="3"/>
  <c r="T179" i="2"/>
  <c r="S179" i="2"/>
  <c r="W179" i="2" s="1"/>
  <c r="V179" i="2"/>
  <c r="X179" i="2" s="1"/>
  <c r="C175" i="3"/>
  <c r="T175" i="2"/>
  <c r="V175" i="2"/>
  <c r="S175" i="2"/>
  <c r="W175" i="2" s="1"/>
  <c r="C171" i="3"/>
  <c r="V171" i="2"/>
  <c r="T171" i="2"/>
  <c r="S171" i="2"/>
  <c r="W171" i="2" s="1"/>
  <c r="C167" i="3"/>
  <c r="T167" i="2"/>
  <c r="V167" i="2"/>
  <c r="S167" i="2"/>
  <c r="W167" i="2" s="1"/>
  <c r="C163" i="3"/>
  <c r="T163" i="2"/>
  <c r="S163" i="2"/>
  <c r="W163" i="2" s="1"/>
  <c r="V163" i="2"/>
  <c r="X163" i="2" s="1"/>
  <c r="C159" i="3"/>
  <c r="T159" i="2"/>
  <c r="S159" i="2"/>
  <c r="W159" i="2" s="1"/>
  <c r="V159" i="2"/>
  <c r="X159" i="2" s="1"/>
  <c r="C155" i="3"/>
  <c r="T155" i="2"/>
  <c r="S155" i="2"/>
  <c r="W155" i="2" s="1"/>
  <c r="V155" i="2"/>
  <c r="X155" i="2" s="1"/>
  <c r="C151" i="3"/>
  <c r="S151" i="2"/>
  <c r="W151" i="2" s="1"/>
  <c r="V151" i="2"/>
  <c r="X151" i="2" s="1"/>
  <c r="T151" i="2"/>
  <c r="C147" i="3"/>
  <c r="T147" i="2"/>
  <c r="S147" i="2"/>
  <c r="W147" i="2" s="1"/>
  <c r="V147" i="2"/>
  <c r="X147" i="2" s="1"/>
  <c r="C143" i="3"/>
  <c r="T143" i="2"/>
  <c r="S143" i="2"/>
  <c r="W143" i="2" s="1"/>
  <c r="V143" i="2"/>
  <c r="X143" i="2" s="1"/>
  <c r="C139" i="3"/>
  <c r="V139" i="2"/>
  <c r="T139" i="2"/>
  <c r="S139" i="2"/>
  <c r="W139" i="2" s="1"/>
  <c r="C135" i="3"/>
  <c r="T135" i="2"/>
  <c r="S135" i="2"/>
  <c r="W135" i="2" s="1"/>
  <c r="V135" i="2"/>
  <c r="X135" i="2" s="1"/>
  <c r="C131" i="3"/>
  <c r="T131" i="2"/>
  <c r="S131" i="2"/>
  <c r="W131" i="2" s="1"/>
  <c r="V131" i="2"/>
  <c r="X131" i="2" s="1"/>
  <c r="C127" i="3"/>
  <c r="T127" i="2"/>
  <c r="S127" i="2"/>
  <c r="W127" i="2" s="1"/>
  <c r="V127" i="2"/>
  <c r="X127" i="2" s="1"/>
  <c r="C123" i="3"/>
  <c r="T123" i="2"/>
  <c r="V123" i="2"/>
  <c r="S123" i="2"/>
  <c r="W123" i="2" s="1"/>
  <c r="C119" i="3"/>
  <c r="S119" i="2"/>
  <c r="W119" i="2" s="1"/>
  <c r="V119" i="2"/>
  <c r="X119" i="2" s="1"/>
  <c r="T119" i="2"/>
  <c r="C115" i="3"/>
  <c r="T115" i="2"/>
  <c r="S115" i="2"/>
  <c r="W115" i="2" s="1"/>
  <c r="V115" i="2"/>
  <c r="X115" i="2" s="1"/>
  <c r="C111" i="3"/>
  <c r="T111" i="2"/>
  <c r="S111" i="2"/>
  <c r="W111" i="2" s="1"/>
  <c r="V111" i="2"/>
  <c r="X111" i="2" s="1"/>
  <c r="C107" i="3"/>
  <c r="V107" i="2"/>
  <c r="S107" i="2"/>
  <c r="W107" i="2" s="1"/>
  <c r="T107" i="2"/>
  <c r="C103" i="3"/>
  <c r="T103" i="2"/>
  <c r="V103" i="2"/>
  <c r="S103" i="2"/>
  <c r="W103" i="2" s="1"/>
  <c r="C99" i="3"/>
  <c r="T99" i="2"/>
  <c r="S99" i="2"/>
  <c r="W99" i="2" s="1"/>
  <c r="V99" i="2"/>
  <c r="X99" i="2" s="1"/>
  <c r="C95" i="3"/>
  <c r="T95" i="2"/>
  <c r="S95" i="2"/>
  <c r="W95" i="2" s="1"/>
  <c r="V95" i="2"/>
  <c r="X95" i="2" s="1"/>
  <c r="C91" i="3"/>
  <c r="T91" i="2"/>
  <c r="S91" i="2"/>
  <c r="W91" i="2" s="1"/>
  <c r="V91" i="2"/>
  <c r="X91" i="2" s="1"/>
  <c r="C87" i="3"/>
  <c r="V87" i="2"/>
  <c r="S87" i="2"/>
  <c r="W87" i="2" s="1"/>
  <c r="T87" i="2"/>
  <c r="C83" i="3"/>
  <c r="T83" i="2"/>
  <c r="S83" i="2"/>
  <c r="W83" i="2" s="1"/>
  <c r="V83" i="2"/>
  <c r="X83" i="2" s="1"/>
  <c r="C79" i="3"/>
  <c r="T79" i="2"/>
  <c r="S79" i="2"/>
  <c r="W79" i="2" s="1"/>
  <c r="V79" i="2"/>
  <c r="X79" i="2" s="1"/>
  <c r="C75" i="3"/>
  <c r="S75" i="2"/>
  <c r="W75" i="2" s="1"/>
  <c r="V75" i="2"/>
  <c r="X75" i="2" s="1"/>
  <c r="T75" i="2"/>
  <c r="C71" i="3"/>
  <c r="T71" i="2"/>
  <c r="V71" i="2"/>
  <c r="S71" i="2"/>
  <c r="W71" i="2" s="1"/>
  <c r="C67" i="3"/>
  <c r="T67" i="2"/>
  <c r="S67" i="2"/>
  <c r="W67" i="2" s="1"/>
  <c r="V67" i="2"/>
  <c r="X67" i="2" s="1"/>
  <c r="C63" i="3"/>
  <c r="T63" i="2"/>
  <c r="S63" i="2"/>
  <c r="W63" i="2" s="1"/>
  <c r="V63" i="2"/>
  <c r="X63" i="2" s="1"/>
  <c r="C59" i="3"/>
  <c r="T59" i="2"/>
  <c r="V59" i="2"/>
  <c r="S59" i="2"/>
  <c r="W59" i="2" s="1"/>
  <c r="C55" i="3"/>
  <c r="S55" i="2"/>
  <c r="W55" i="2" s="1"/>
  <c r="V55" i="2"/>
  <c r="X55" i="2" s="1"/>
  <c r="T55" i="2"/>
  <c r="C51" i="3"/>
  <c r="T51" i="2"/>
  <c r="S51" i="2"/>
  <c r="W51" i="2" s="1"/>
  <c r="V51" i="2"/>
  <c r="X51" i="2" s="1"/>
  <c r="C47" i="3"/>
  <c r="T47" i="2"/>
  <c r="S47" i="2"/>
  <c r="W47" i="2" s="1"/>
  <c r="V47" i="2"/>
  <c r="X47" i="2" s="1"/>
  <c r="C43" i="3"/>
  <c r="S43" i="2"/>
  <c r="W43" i="2" s="1"/>
  <c r="V43" i="2"/>
  <c r="X43" i="2" s="1"/>
  <c r="T43" i="2"/>
  <c r="C39" i="3"/>
  <c r="T39" i="2"/>
  <c r="V39" i="2"/>
  <c r="S39" i="2"/>
  <c r="W39" i="2" s="1"/>
  <c r="C35" i="3"/>
  <c r="T35" i="2"/>
  <c r="S35" i="2"/>
  <c r="W35" i="2" s="1"/>
  <c r="V35" i="2"/>
  <c r="X35" i="2" s="1"/>
  <c r="C31" i="3"/>
  <c r="T31" i="2"/>
  <c r="S31" i="2"/>
  <c r="W31" i="2" s="1"/>
  <c r="V31" i="2"/>
  <c r="X31" i="2" s="1"/>
  <c r="C27" i="3"/>
  <c r="T27" i="2"/>
  <c r="V27" i="2"/>
  <c r="S27" i="2"/>
  <c r="W27" i="2" s="1"/>
  <c r="C23" i="3"/>
  <c r="S23" i="2"/>
  <c r="W23" i="2" s="1"/>
  <c r="V23" i="2"/>
  <c r="X23" i="2" s="1"/>
  <c r="T23" i="2"/>
  <c r="C19" i="3"/>
  <c r="T19" i="2"/>
  <c r="S19" i="2"/>
  <c r="W19" i="2" s="1"/>
  <c r="V19" i="2"/>
  <c r="X19" i="2" s="1"/>
  <c r="C15" i="3"/>
  <c r="T15" i="2"/>
  <c r="S15" i="2"/>
  <c r="W15" i="2" s="1"/>
  <c r="V15" i="2"/>
  <c r="X15" i="2" s="1"/>
  <c r="C11" i="3"/>
  <c r="S11" i="2"/>
  <c r="W11" i="2" s="1"/>
  <c r="V11" i="2"/>
  <c r="X11" i="2" s="1"/>
  <c r="T11" i="2"/>
  <c r="C7" i="3"/>
  <c r="T7" i="2"/>
  <c r="V7" i="2"/>
  <c r="S7" i="2"/>
  <c r="W7" i="2" s="1"/>
  <c r="C250" i="3"/>
  <c r="T250" i="2"/>
  <c r="V250" i="2"/>
  <c r="S250" i="2"/>
  <c r="W250" i="2" s="1"/>
  <c r="C246" i="3"/>
  <c r="T246" i="2"/>
  <c r="V246" i="2"/>
  <c r="S246" i="2"/>
  <c r="W246" i="2" s="1"/>
  <c r="C242" i="3"/>
  <c r="T242" i="2"/>
  <c r="V242" i="2"/>
  <c r="S242" i="2"/>
  <c r="W242" i="2" s="1"/>
  <c r="C238" i="3"/>
  <c r="T238" i="2"/>
  <c r="S238" i="2"/>
  <c r="W238" i="2" s="1"/>
  <c r="V238" i="2"/>
  <c r="X238" i="2" s="1"/>
  <c r="C234" i="3"/>
  <c r="T234" i="2"/>
  <c r="V234" i="2"/>
  <c r="S234" i="2"/>
  <c r="W234" i="2" s="1"/>
  <c r="C230" i="3"/>
  <c r="T230" i="2"/>
  <c r="V230" i="2"/>
  <c r="S230" i="2"/>
  <c r="W230" i="2" s="1"/>
  <c r="C226" i="3"/>
  <c r="T226" i="2"/>
  <c r="V226" i="2"/>
  <c r="S226" i="2"/>
  <c r="W226" i="2" s="1"/>
  <c r="C222" i="3"/>
  <c r="T222" i="2"/>
  <c r="S222" i="2"/>
  <c r="W222" i="2" s="1"/>
  <c r="V222" i="2"/>
  <c r="X222" i="2" s="1"/>
  <c r="C218" i="3"/>
  <c r="T218" i="2"/>
  <c r="V218" i="2"/>
  <c r="S218" i="2"/>
  <c r="W218" i="2" s="1"/>
  <c r="C214" i="3"/>
  <c r="T214" i="2"/>
  <c r="V214" i="2"/>
  <c r="S214" i="2"/>
  <c r="W214" i="2" s="1"/>
  <c r="C210" i="3"/>
  <c r="T210" i="2"/>
  <c r="V210" i="2"/>
  <c r="S210" i="2"/>
  <c r="W210" i="2" s="1"/>
  <c r="C206" i="3"/>
  <c r="T206" i="2"/>
  <c r="S206" i="2"/>
  <c r="W206" i="2" s="1"/>
  <c r="V206" i="2"/>
  <c r="X206" i="2" s="1"/>
  <c r="C202" i="3"/>
  <c r="T202" i="2"/>
  <c r="V202" i="2"/>
  <c r="S202" i="2"/>
  <c r="W202" i="2" s="1"/>
  <c r="C198" i="3"/>
  <c r="T198" i="2"/>
  <c r="V198" i="2"/>
  <c r="S198" i="2"/>
  <c r="W198" i="2" s="1"/>
  <c r="C194" i="3"/>
  <c r="T194" i="2"/>
  <c r="V194" i="2"/>
  <c r="S194" i="2"/>
  <c r="W194" i="2" s="1"/>
  <c r="C190" i="3"/>
  <c r="T190" i="2"/>
  <c r="S190" i="2"/>
  <c r="W190" i="2" s="1"/>
  <c r="V190" i="2"/>
  <c r="X190" i="2" s="1"/>
  <c r="C186" i="3"/>
  <c r="T186" i="2"/>
  <c r="V186" i="2"/>
  <c r="S186" i="2"/>
  <c r="W186" i="2" s="1"/>
  <c r="C182" i="3"/>
  <c r="T182" i="2"/>
  <c r="V182" i="2"/>
  <c r="S182" i="2"/>
  <c r="W182" i="2" s="1"/>
  <c r="C178" i="3"/>
  <c r="T178" i="2"/>
  <c r="V178" i="2"/>
  <c r="S178" i="2"/>
  <c r="W178" i="2" s="1"/>
  <c r="C174" i="3"/>
  <c r="T174" i="2"/>
  <c r="S174" i="2"/>
  <c r="W174" i="2" s="1"/>
  <c r="V174" i="2"/>
  <c r="X174" i="2" s="1"/>
  <c r="C170" i="3"/>
  <c r="T170" i="2"/>
  <c r="V170" i="2"/>
  <c r="S170" i="2"/>
  <c r="W170" i="2" s="1"/>
  <c r="C166" i="3"/>
  <c r="T166" i="2"/>
  <c r="V166" i="2"/>
  <c r="S166" i="2"/>
  <c r="W166" i="2" s="1"/>
  <c r="C162" i="3"/>
  <c r="T162" i="2"/>
  <c r="V162" i="2"/>
  <c r="S162" i="2"/>
  <c r="W162" i="2" s="1"/>
  <c r="C158" i="3"/>
  <c r="T158" i="2"/>
  <c r="S158" i="2"/>
  <c r="W158" i="2" s="1"/>
  <c r="V158" i="2"/>
  <c r="X158" i="2" s="1"/>
  <c r="C154" i="3"/>
  <c r="T154" i="2"/>
  <c r="V154" i="2"/>
  <c r="S154" i="2"/>
  <c r="W154" i="2" s="1"/>
  <c r="C150" i="3"/>
  <c r="T150" i="2"/>
  <c r="V150" i="2"/>
  <c r="S150" i="2"/>
  <c r="W150" i="2" s="1"/>
  <c r="C146" i="3"/>
  <c r="T146" i="2"/>
  <c r="V146" i="2"/>
  <c r="S146" i="2"/>
  <c r="W146" i="2" s="1"/>
  <c r="C142" i="3"/>
  <c r="T142" i="2"/>
  <c r="S142" i="2"/>
  <c r="W142" i="2" s="1"/>
  <c r="V142" i="2"/>
  <c r="X142" i="2" s="1"/>
  <c r="C138" i="3"/>
  <c r="T138" i="2"/>
  <c r="V138" i="2"/>
  <c r="S138" i="2"/>
  <c r="W138" i="2" s="1"/>
  <c r="C134" i="3"/>
  <c r="T134" i="2"/>
  <c r="V134" i="2"/>
  <c r="S134" i="2"/>
  <c r="W134" i="2" s="1"/>
  <c r="C130" i="3"/>
  <c r="T130" i="2"/>
  <c r="V130" i="2"/>
  <c r="S130" i="2"/>
  <c r="W130" i="2" s="1"/>
  <c r="C126" i="3"/>
  <c r="T126" i="2"/>
  <c r="S126" i="2"/>
  <c r="W126" i="2" s="1"/>
  <c r="V126" i="2"/>
  <c r="X126" i="2" s="1"/>
  <c r="C122" i="3"/>
  <c r="T122" i="2"/>
  <c r="V122" i="2"/>
  <c r="S122" i="2"/>
  <c r="W122" i="2" s="1"/>
  <c r="C118" i="3"/>
  <c r="T118" i="2"/>
  <c r="V118" i="2"/>
  <c r="S118" i="2"/>
  <c r="W118" i="2" s="1"/>
  <c r="C114" i="3"/>
  <c r="T114" i="2"/>
  <c r="V114" i="2"/>
  <c r="S114" i="2"/>
  <c r="W114" i="2" s="1"/>
  <c r="C110" i="3"/>
  <c r="T110" i="2"/>
  <c r="S110" i="2"/>
  <c r="W110" i="2" s="1"/>
  <c r="V110" i="2"/>
  <c r="X110" i="2" s="1"/>
  <c r="C106" i="3"/>
  <c r="T106" i="2"/>
  <c r="V106" i="2"/>
  <c r="S106" i="2"/>
  <c r="W106" i="2" s="1"/>
  <c r="C102" i="3"/>
  <c r="T102" i="2"/>
  <c r="V102" i="2"/>
  <c r="S102" i="2"/>
  <c r="W102" i="2" s="1"/>
  <c r="C98" i="3"/>
  <c r="T98" i="2"/>
  <c r="V98" i="2"/>
  <c r="S98" i="2"/>
  <c r="W98" i="2" s="1"/>
  <c r="C94" i="3"/>
  <c r="T94" i="2"/>
  <c r="S94" i="2"/>
  <c r="W94" i="2" s="1"/>
  <c r="V94" i="2"/>
  <c r="X94" i="2" s="1"/>
  <c r="C90" i="3"/>
  <c r="T90" i="2"/>
  <c r="V90" i="2"/>
  <c r="S90" i="2"/>
  <c r="W90" i="2" s="1"/>
  <c r="C86" i="3"/>
  <c r="T86" i="2"/>
  <c r="V86" i="2"/>
  <c r="S86" i="2"/>
  <c r="W86" i="2" s="1"/>
  <c r="C82" i="3"/>
  <c r="T82" i="2"/>
  <c r="V82" i="2"/>
  <c r="S82" i="2"/>
  <c r="W82" i="2" s="1"/>
  <c r="C78" i="3"/>
  <c r="T78" i="2"/>
  <c r="S78" i="2"/>
  <c r="W78" i="2" s="1"/>
  <c r="V78" i="2"/>
  <c r="X78" i="2" s="1"/>
  <c r="C74" i="3"/>
  <c r="T74" i="2"/>
  <c r="V74" i="2"/>
  <c r="S74" i="2"/>
  <c r="W74" i="2" s="1"/>
  <c r="C70" i="3"/>
  <c r="T70" i="2"/>
  <c r="V70" i="2"/>
  <c r="S70" i="2"/>
  <c r="W70" i="2" s="1"/>
  <c r="C66" i="3"/>
  <c r="T66" i="2"/>
  <c r="V66" i="2"/>
  <c r="S66" i="2"/>
  <c r="W66" i="2" s="1"/>
  <c r="C62" i="3"/>
  <c r="T62" i="2"/>
  <c r="S62" i="2"/>
  <c r="W62" i="2" s="1"/>
  <c r="V62" i="2"/>
  <c r="X62" i="2" s="1"/>
  <c r="C58" i="3"/>
  <c r="T58" i="2"/>
  <c r="V58" i="2"/>
  <c r="S58" i="2"/>
  <c r="W58" i="2" s="1"/>
  <c r="C54" i="3"/>
  <c r="T54" i="2"/>
  <c r="V54" i="2"/>
  <c r="S54" i="2"/>
  <c r="W54" i="2" s="1"/>
  <c r="C50" i="3"/>
  <c r="T50" i="2"/>
  <c r="V50" i="2"/>
  <c r="S50" i="2"/>
  <c r="W50" i="2" s="1"/>
  <c r="C46" i="3"/>
  <c r="T46" i="2"/>
  <c r="S46" i="2"/>
  <c r="W46" i="2" s="1"/>
  <c r="V46" i="2"/>
  <c r="X46" i="2" s="1"/>
  <c r="C42" i="3"/>
  <c r="T42" i="2"/>
  <c r="V42" i="2"/>
  <c r="S42" i="2"/>
  <c r="W42" i="2" s="1"/>
  <c r="C38" i="3"/>
  <c r="T38" i="2"/>
  <c r="V38" i="2"/>
  <c r="S38" i="2"/>
  <c r="W38" i="2" s="1"/>
  <c r="C34" i="3"/>
  <c r="T34" i="2"/>
  <c r="V34" i="2"/>
  <c r="S34" i="2"/>
  <c r="W34" i="2" s="1"/>
  <c r="C30" i="3"/>
  <c r="T30" i="2"/>
  <c r="S30" i="2"/>
  <c r="W30" i="2" s="1"/>
  <c r="V30" i="2"/>
  <c r="X30" i="2" s="1"/>
  <c r="C26" i="3"/>
  <c r="T26" i="2"/>
  <c r="V26" i="2"/>
  <c r="S26" i="2"/>
  <c r="W26" i="2" s="1"/>
  <c r="C22" i="3"/>
  <c r="T22" i="2"/>
  <c r="V22" i="2"/>
  <c r="S22" i="2"/>
  <c r="W22" i="2" s="1"/>
  <c r="C18" i="3"/>
  <c r="T18" i="2"/>
  <c r="V18" i="2"/>
  <c r="S18" i="2"/>
  <c r="W18" i="2" s="1"/>
  <c r="C14" i="3"/>
  <c r="T14" i="2"/>
  <c r="S14" i="2"/>
  <c r="W14" i="2" s="1"/>
  <c r="V14" i="2"/>
  <c r="X14" i="2" s="1"/>
  <c r="C10" i="3"/>
  <c r="T10" i="2"/>
  <c r="V10" i="2"/>
  <c r="S10" i="2"/>
  <c r="W10" i="2" s="1"/>
  <c r="C6" i="3"/>
  <c r="T6" i="2"/>
  <c r="V6" i="2"/>
  <c r="S6" i="2"/>
  <c r="W6" i="2" s="1"/>
  <c r="X3" i="2" l="1"/>
  <c r="X13" i="2"/>
  <c r="X45" i="2"/>
  <c r="X77" i="2"/>
  <c r="X93" i="2"/>
  <c r="X109" i="2"/>
  <c r="X6" i="2"/>
  <c r="X18" i="2"/>
  <c r="X26" i="2"/>
  <c r="X38" i="2"/>
  <c r="X50" i="2"/>
  <c r="X58" i="2"/>
  <c r="X66" i="2"/>
  <c r="X74" i="2"/>
  <c r="X82" i="2"/>
  <c r="X90" i="2"/>
  <c r="X102" i="2"/>
  <c r="X114" i="2"/>
  <c r="X122" i="2"/>
  <c r="X134" i="2"/>
  <c r="X146" i="2"/>
  <c r="X154" i="2"/>
  <c r="X166" i="2"/>
  <c r="X178" i="2"/>
  <c r="X186" i="2"/>
  <c r="X198" i="2"/>
  <c r="X210" i="2"/>
  <c r="X218" i="2"/>
  <c r="X230" i="2"/>
  <c r="X242" i="2"/>
  <c r="X250" i="2"/>
  <c r="X39" i="2"/>
  <c r="X71" i="2"/>
  <c r="X103" i="2"/>
  <c r="X123" i="2"/>
  <c r="X175" i="2"/>
  <c r="X251" i="2"/>
  <c r="X29" i="2"/>
  <c r="X49" i="2"/>
  <c r="X125" i="2"/>
  <c r="X133" i="2"/>
  <c r="X229" i="2"/>
  <c r="T252" i="2"/>
  <c r="X87" i="2"/>
  <c r="X107" i="2"/>
  <c r="X139" i="2"/>
  <c r="X171" i="2"/>
  <c r="X203" i="2"/>
  <c r="X235" i="2"/>
  <c r="X97" i="2"/>
  <c r="X117" i="2"/>
  <c r="X161" i="2"/>
  <c r="X181" i="2"/>
  <c r="X225" i="2"/>
  <c r="X245" i="2"/>
  <c r="W2" i="2"/>
  <c r="W252" i="2" s="1"/>
  <c r="S252" i="2"/>
  <c r="V252" i="2"/>
  <c r="X10" i="2"/>
  <c r="X22" i="2"/>
  <c r="X34" i="2"/>
  <c r="X42" i="2"/>
  <c r="X54" i="2"/>
  <c r="X70" i="2"/>
  <c r="X86" i="2"/>
  <c r="X98" i="2"/>
  <c r="X106" i="2"/>
  <c r="X118" i="2"/>
  <c r="X130" i="2"/>
  <c r="X138" i="2"/>
  <c r="X150" i="2"/>
  <c r="X162" i="2"/>
  <c r="X170" i="2"/>
  <c r="X182" i="2"/>
  <c r="X194" i="2"/>
  <c r="X202" i="2"/>
  <c r="X214" i="2"/>
  <c r="X226" i="2"/>
  <c r="X234" i="2"/>
  <c r="X246" i="2"/>
  <c r="X7" i="2"/>
  <c r="X27" i="2"/>
  <c r="X59" i="2"/>
  <c r="X167" i="2"/>
  <c r="X187" i="2"/>
  <c r="X231" i="2"/>
  <c r="X61" i="2"/>
  <c r="X101" i="2"/>
  <c r="X145" i="2"/>
  <c r="X165" i="2"/>
  <c r="X189" i="2"/>
  <c r="X197" i="2"/>
  <c r="X209" i="2"/>
  <c r="S6" i="3"/>
  <c r="W6" i="3" s="1"/>
  <c r="T6" i="3"/>
  <c r="V6" i="3"/>
  <c r="S10" i="3"/>
  <c r="W10" i="3" s="1"/>
  <c r="V10" i="3"/>
  <c r="T10" i="3"/>
  <c r="T14" i="3"/>
  <c r="S14" i="3"/>
  <c r="W14" i="3" s="1"/>
  <c r="V14" i="3"/>
  <c r="S18" i="3"/>
  <c r="W18" i="3" s="1"/>
  <c r="T18" i="3"/>
  <c r="V18" i="3"/>
  <c r="S22" i="3"/>
  <c r="W22" i="3" s="1"/>
  <c r="T22" i="3"/>
  <c r="V22" i="3"/>
  <c r="S26" i="3"/>
  <c r="W26" i="3" s="1"/>
  <c r="V26" i="3"/>
  <c r="T26" i="3"/>
  <c r="T30" i="3"/>
  <c r="V30" i="3"/>
  <c r="S30" i="3"/>
  <c r="W30" i="3" s="1"/>
  <c r="S34" i="3"/>
  <c r="W34" i="3" s="1"/>
  <c r="V34" i="3"/>
  <c r="T34" i="3"/>
  <c r="S38" i="3"/>
  <c r="W38" i="3" s="1"/>
  <c r="T38" i="3"/>
  <c r="V38" i="3"/>
  <c r="S42" i="3"/>
  <c r="W42" i="3" s="1"/>
  <c r="V42" i="3"/>
  <c r="T42" i="3"/>
  <c r="T46" i="3"/>
  <c r="S46" i="3"/>
  <c r="W46" i="3" s="1"/>
  <c r="V46" i="3"/>
  <c r="S50" i="3"/>
  <c r="W50" i="3" s="1"/>
  <c r="T50" i="3"/>
  <c r="V50" i="3"/>
  <c r="S54" i="3"/>
  <c r="W54" i="3" s="1"/>
  <c r="T54" i="3"/>
  <c r="V54" i="3"/>
  <c r="S58" i="3"/>
  <c r="W58" i="3" s="1"/>
  <c r="V58" i="3"/>
  <c r="T58" i="3"/>
  <c r="T62" i="3"/>
  <c r="V62" i="3"/>
  <c r="S62" i="3"/>
  <c r="W62" i="3" s="1"/>
  <c r="S66" i="3"/>
  <c r="W66" i="3" s="1"/>
  <c r="T66" i="3"/>
  <c r="V66" i="3"/>
  <c r="S70" i="3"/>
  <c r="W70" i="3" s="1"/>
  <c r="T70" i="3"/>
  <c r="V70" i="3"/>
  <c r="S74" i="3"/>
  <c r="W74" i="3" s="1"/>
  <c r="V74" i="3"/>
  <c r="T74" i="3"/>
  <c r="T78" i="3"/>
  <c r="S78" i="3"/>
  <c r="W78" i="3" s="1"/>
  <c r="V78" i="3"/>
  <c r="S82" i="3"/>
  <c r="W82" i="3" s="1"/>
  <c r="T82" i="3"/>
  <c r="V82" i="3"/>
  <c r="S86" i="3"/>
  <c r="W86" i="3" s="1"/>
  <c r="V86" i="3"/>
  <c r="T86" i="3"/>
  <c r="S90" i="3"/>
  <c r="W90" i="3" s="1"/>
  <c r="V90" i="3"/>
  <c r="T90" i="3"/>
  <c r="T94" i="3"/>
  <c r="V94" i="3"/>
  <c r="S94" i="3"/>
  <c r="W94" i="3" s="1"/>
  <c r="S98" i="3"/>
  <c r="W98" i="3" s="1"/>
  <c r="V98" i="3"/>
  <c r="T98" i="3"/>
  <c r="S102" i="3"/>
  <c r="W102" i="3" s="1"/>
  <c r="T102" i="3"/>
  <c r="V102" i="3"/>
  <c r="S106" i="3"/>
  <c r="W106" i="3" s="1"/>
  <c r="V106" i="3"/>
  <c r="T106" i="3"/>
  <c r="T110" i="3"/>
  <c r="S110" i="3"/>
  <c r="W110" i="3" s="1"/>
  <c r="V110" i="3"/>
  <c r="T114" i="3"/>
  <c r="V114" i="3"/>
  <c r="S114" i="3"/>
  <c r="W114" i="3" s="1"/>
  <c r="S118" i="3"/>
  <c r="W118" i="3" s="1"/>
  <c r="T118" i="3"/>
  <c r="V118" i="3"/>
  <c r="S122" i="3"/>
  <c r="W122" i="3" s="1"/>
  <c r="V122" i="3"/>
  <c r="T122" i="3"/>
  <c r="T126" i="3"/>
  <c r="V126" i="3"/>
  <c r="S126" i="3"/>
  <c r="W126" i="3" s="1"/>
  <c r="S130" i="3"/>
  <c r="W130" i="3" s="1"/>
  <c r="V130" i="3"/>
  <c r="T130" i="3"/>
  <c r="S134" i="3"/>
  <c r="W134" i="3" s="1"/>
  <c r="T134" i="3"/>
  <c r="V134" i="3"/>
  <c r="S138" i="3"/>
  <c r="W138" i="3" s="1"/>
  <c r="V138" i="3"/>
  <c r="T138" i="3"/>
  <c r="T142" i="3"/>
  <c r="S142" i="3"/>
  <c r="W142" i="3" s="1"/>
  <c r="V142" i="3"/>
  <c r="T146" i="3"/>
  <c r="S146" i="3"/>
  <c r="W146" i="3" s="1"/>
  <c r="V146" i="3"/>
  <c r="S150" i="3"/>
  <c r="W150" i="3" s="1"/>
  <c r="V150" i="3"/>
  <c r="T150" i="3"/>
  <c r="S154" i="3"/>
  <c r="W154" i="3" s="1"/>
  <c r="V154" i="3"/>
  <c r="T154" i="3"/>
  <c r="T158" i="3"/>
  <c r="V158" i="3"/>
  <c r="S158" i="3"/>
  <c r="W158" i="3" s="1"/>
  <c r="S162" i="3"/>
  <c r="W162" i="3" s="1"/>
  <c r="V162" i="3"/>
  <c r="T162" i="3"/>
  <c r="S166" i="3"/>
  <c r="W166" i="3" s="1"/>
  <c r="T166" i="3"/>
  <c r="V166" i="3"/>
  <c r="S170" i="3"/>
  <c r="W170" i="3" s="1"/>
  <c r="T170" i="3"/>
  <c r="V170" i="3"/>
  <c r="T174" i="3"/>
  <c r="S174" i="3"/>
  <c r="W174" i="3" s="1"/>
  <c r="V174" i="3"/>
  <c r="V178" i="3"/>
  <c r="S178" i="3"/>
  <c r="W178" i="3" s="1"/>
  <c r="T178" i="3"/>
  <c r="S182" i="3"/>
  <c r="W182" i="3" s="1"/>
  <c r="T182" i="3"/>
  <c r="V182" i="3"/>
  <c r="S186" i="3"/>
  <c r="W186" i="3" s="1"/>
  <c r="T186" i="3"/>
  <c r="V186" i="3"/>
  <c r="T190" i="3"/>
  <c r="V190" i="3"/>
  <c r="S190" i="3"/>
  <c r="W190" i="3" s="1"/>
  <c r="S194" i="3"/>
  <c r="W194" i="3" s="1"/>
  <c r="V194" i="3"/>
  <c r="T194" i="3"/>
  <c r="S198" i="3"/>
  <c r="W198" i="3" s="1"/>
  <c r="T198" i="3"/>
  <c r="V198" i="3"/>
  <c r="S202" i="3"/>
  <c r="W202" i="3" s="1"/>
  <c r="T202" i="3"/>
  <c r="V202" i="3"/>
  <c r="T206" i="3"/>
  <c r="S206" i="3"/>
  <c r="W206" i="3" s="1"/>
  <c r="V206" i="3"/>
  <c r="V210" i="3"/>
  <c r="T210" i="3"/>
  <c r="S210" i="3"/>
  <c r="W210" i="3" s="1"/>
  <c r="S214" i="3"/>
  <c r="W214" i="3" s="1"/>
  <c r="T214" i="3"/>
  <c r="V214" i="3"/>
  <c r="S218" i="3"/>
  <c r="W218" i="3" s="1"/>
  <c r="T218" i="3"/>
  <c r="V218" i="3"/>
  <c r="T222" i="3"/>
  <c r="V222" i="3"/>
  <c r="S222" i="3"/>
  <c r="W222" i="3" s="1"/>
  <c r="S226" i="3"/>
  <c r="W226" i="3" s="1"/>
  <c r="V226" i="3"/>
  <c r="T226" i="3"/>
  <c r="S230" i="3"/>
  <c r="W230" i="3" s="1"/>
  <c r="T230" i="3"/>
  <c r="V230" i="3"/>
  <c r="S234" i="3"/>
  <c r="W234" i="3" s="1"/>
  <c r="T234" i="3"/>
  <c r="V234" i="3"/>
  <c r="T238" i="3"/>
  <c r="S238" i="3"/>
  <c r="W238" i="3" s="1"/>
  <c r="V238" i="3"/>
  <c r="V242" i="3"/>
  <c r="S242" i="3"/>
  <c r="W242" i="3" s="1"/>
  <c r="T242" i="3"/>
  <c r="S246" i="3"/>
  <c r="W246" i="3" s="1"/>
  <c r="T246" i="3"/>
  <c r="V246" i="3"/>
  <c r="S250" i="3"/>
  <c r="W250" i="3" s="1"/>
  <c r="T250" i="3"/>
  <c r="V250" i="3"/>
  <c r="T7" i="3"/>
  <c r="V7" i="3"/>
  <c r="S7" i="3"/>
  <c r="W7" i="3" s="1"/>
  <c r="T11" i="3"/>
  <c r="V11" i="3"/>
  <c r="S11" i="3"/>
  <c r="W11" i="3" s="1"/>
  <c r="T15" i="3"/>
  <c r="V15" i="3"/>
  <c r="S15" i="3"/>
  <c r="W15" i="3" s="1"/>
  <c r="T19" i="3"/>
  <c r="V19" i="3"/>
  <c r="S19" i="3"/>
  <c r="W19" i="3" s="1"/>
  <c r="T23" i="3"/>
  <c r="V23" i="3"/>
  <c r="S23" i="3"/>
  <c r="W23" i="3" s="1"/>
  <c r="T27" i="3"/>
  <c r="V27" i="3"/>
  <c r="S27" i="3"/>
  <c r="W27" i="3" s="1"/>
  <c r="T31" i="3"/>
  <c r="V31" i="3"/>
  <c r="S31" i="3"/>
  <c r="W31" i="3" s="1"/>
  <c r="T35" i="3"/>
  <c r="V35" i="3"/>
  <c r="S35" i="3"/>
  <c r="W35" i="3" s="1"/>
  <c r="T39" i="3"/>
  <c r="V39" i="3"/>
  <c r="S39" i="3"/>
  <c r="W39" i="3" s="1"/>
  <c r="T43" i="3"/>
  <c r="V43" i="3"/>
  <c r="S43" i="3"/>
  <c r="W43" i="3" s="1"/>
  <c r="T47" i="3"/>
  <c r="V47" i="3"/>
  <c r="S47" i="3"/>
  <c r="W47" i="3" s="1"/>
  <c r="T51" i="3"/>
  <c r="V51" i="3"/>
  <c r="S51" i="3"/>
  <c r="W51" i="3" s="1"/>
  <c r="T55" i="3"/>
  <c r="V55" i="3"/>
  <c r="S55" i="3"/>
  <c r="W55" i="3" s="1"/>
  <c r="T59" i="3"/>
  <c r="V59" i="3"/>
  <c r="S59" i="3"/>
  <c r="W59" i="3" s="1"/>
  <c r="T63" i="3"/>
  <c r="V63" i="3"/>
  <c r="S63" i="3"/>
  <c r="W63" i="3" s="1"/>
  <c r="T67" i="3"/>
  <c r="V67" i="3"/>
  <c r="S67" i="3"/>
  <c r="W67" i="3" s="1"/>
  <c r="T71" i="3"/>
  <c r="V71" i="3"/>
  <c r="S71" i="3"/>
  <c r="W71" i="3" s="1"/>
  <c r="T75" i="3"/>
  <c r="V75" i="3"/>
  <c r="S75" i="3"/>
  <c r="W75" i="3" s="1"/>
  <c r="T79" i="3"/>
  <c r="V79" i="3"/>
  <c r="S79" i="3"/>
  <c r="W79" i="3" s="1"/>
  <c r="T83" i="3"/>
  <c r="V83" i="3"/>
  <c r="S83" i="3"/>
  <c r="W83" i="3" s="1"/>
  <c r="T87" i="3"/>
  <c r="V87" i="3"/>
  <c r="S87" i="3"/>
  <c r="W87" i="3" s="1"/>
  <c r="T91" i="3"/>
  <c r="V91" i="3"/>
  <c r="S91" i="3"/>
  <c r="W91" i="3" s="1"/>
  <c r="T95" i="3"/>
  <c r="V95" i="3"/>
  <c r="S95" i="3"/>
  <c r="W95" i="3" s="1"/>
  <c r="T99" i="3"/>
  <c r="V99" i="3"/>
  <c r="S99" i="3"/>
  <c r="W99" i="3" s="1"/>
  <c r="T103" i="3"/>
  <c r="V103" i="3"/>
  <c r="S103" i="3"/>
  <c r="W103" i="3" s="1"/>
  <c r="T107" i="3"/>
  <c r="V107" i="3"/>
  <c r="S107" i="3"/>
  <c r="W107" i="3" s="1"/>
  <c r="T111" i="3"/>
  <c r="V111" i="3"/>
  <c r="S111" i="3"/>
  <c r="W111" i="3" s="1"/>
  <c r="T115" i="3"/>
  <c r="V115" i="3"/>
  <c r="S115" i="3"/>
  <c r="W115" i="3" s="1"/>
  <c r="T119" i="3"/>
  <c r="V119" i="3"/>
  <c r="S119" i="3"/>
  <c r="W119" i="3" s="1"/>
  <c r="T123" i="3"/>
  <c r="V123" i="3"/>
  <c r="S123" i="3"/>
  <c r="W123" i="3" s="1"/>
  <c r="T127" i="3"/>
  <c r="V127" i="3"/>
  <c r="S127" i="3"/>
  <c r="W127" i="3" s="1"/>
  <c r="T131" i="3"/>
  <c r="V131" i="3"/>
  <c r="S131" i="3"/>
  <c r="W131" i="3" s="1"/>
  <c r="T135" i="3"/>
  <c r="V135" i="3"/>
  <c r="S135" i="3"/>
  <c r="W135" i="3" s="1"/>
  <c r="T139" i="3"/>
  <c r="V139" i="3"/>
  <c r="S139" i="3"/>
  <c r="W139" i="3" s="1"/>
  <c r="T143" i="3"/>
  <c r="V143" i="3"/>
  <c r="S143" i="3"/>
  <c r="W143" i="3" s="1"/>
  <c r="T147" i="3"/>
  <c r="V147" i="3"/>
  <c r="S147" i="3"/>
  <c r="W147" i="3" s="1"/>
  <c r="T151" i="3"/>
  <c r="V151" i="3"/>
  <c r="S151" i="3"/>
  <c r="W151" i="3" s="1"/>
  <c r="T155" i="3"/>
  <c r="V155" i="3"/>
  <c r="S155" i="3"/>
  <c r="W155" i="3" s="1"/>
  <c r="T159" i="3"/>
  <c r="V159" i="3"/>
  <c r="S159" i="3"/>
  <c r="W159" i="3" s="1"/>
  <c r="T163" i="3"/>
  <c r="S163" i="3"/>
  <c r="W163" i="3" s="1"/>
  <c r="V163" i="3"/>
  <c r="T167" i="3"/>
  <c r="V167" i="3"/>
  <c r="S167" i="3"/>
  <c r="W167" i="3" s="1"/>
  <c r="T171" i="3"/>
  <c r="S171" i="3"/>
  <c r="W171" i="3" s="1"/>
  <c r="V171" i="3"/>
  <c r="T175" i="3"/>
  <c r="S175" i="3"/>
  <c r="W175" i="3" s="1"/>
  <c r="V175" i="3"/>
  <c r="T179" i="3"/>
  <c r="V179" i="3"/>
  <c r="S179" i="3"/>
  <c r="W179" i="3" s="1"/>
  <c r="T183" i="3"/>
  <c r="S183" i="3"/>
  <c r="W183" i="3" s="1"/>
  <c r="V183" i="3"/>
  <c r="T187" i="3"/>
  <c r="S187" i="3"/>
  <c r="W187" i="3" s="1"/>
  <c r="V187" i="3"/>
  <c r="T191" i="3"/>
  <c r="S191" i="3"/>
  <c r="W191" i="3" s="1"/>
  <c r="V191" i="3"/>
  <c r="T195" i="3"/>
  <c r="S195" i="3"/>
  <c r="W195" i="3" s="1"/>
  <c r="V195" i="3"/>
  <c r="T199" i="3"/>
  <c r="V199" i="3"/>
  <c r="S199" i="3"/>
  <c r="W199" i="3" s="1"/>
  <c r="T203" i="3"/>
  <c r="S203" i="3"/>
  <c r="W203" i="3" s="1"/>
  <c r="V203" i="3"/>
  <c r="T207" i="3"/>
  <c r="S207" i="3"/>
  <c r="W207" i="3" s="1"/>
  <c r="V207" i="3"/>
  <c r="T211" i="3"/>
  <c r="V211" i="3"/>
  <c r="S211" i="3"/>
  <c r="W211" i="3" s="1"/>
  <c r="T215" i="3"/>
  <c r="S215" i="3"/>
  <c r="W215" i="3" s="1"/>
  <c r="V215" i="3"/>
  <c r="T219" i="3"/>
  <c r="S219" i="3"/>
  <c r="W219" i="3" s="1"/>
  <c r="V219" i="3"/>
  <c r="T223" i="3"/>
  <c r="S223" i="3"/>
  <c r="W223" i="3" s="1"/>
  <c r="V223" i="3"/>
  <c r="T227" i="3"/>
  <c r="S227" i="3"/>
  <c r="W227" i="3" s="1"/>
  <c r="V227" i="3"/>
  <c r="T231" i="3"/>
  <c r="V231" i="3"/>
  <c r="S231" i="3"/>
  <c r="W231" i="3" s="1"/>
  <c r="T235" i="3"/>
  <c r="S235" i="3"/>
  <c r="W235" i="3" s="1"/>
  <c r="V235" i="3"/>
  <c r="T239" i="3"/>
  <c r="S239" i="3"/>
  <c r="W239" i="3" s="1"/>
  <c r="V239" i="3"/>
  <c r="T243" i="3"/>
  <c r="V243" i="3"/>
  <c r="S243" i="3"/>
  <c r="W243" i="3" s="1"/>
  <c r="T247" i="3"/>
  <c r="S247" i="3"/>
  <c r="W247" i="3" s="1"/>
  <c r="V247" i="3"/>
  <c r="T251" i="3"/>
  <c r="S251" i="3"/>
  <c r="W251" i="3" s="1"/>
  <c r="V251" i="3"/>
  <c r="T4" i="3"/>
  <c r="S4" i="3"/>
  <c r="W4" i="3" s="1"/>
  <c r="V4" i="3"/>
  <c r="T8" i="3"/>
  <c r="V8" i="3"/>
  <c r="S8" i="3"/>
  <c r="W8" i="3" s="1"/>
  <c r="S12" i="3"/>
  <c r="W12" i="3" s="1"/>
  <c r="T12" i="3"/>
  <c r="V12" i="3"/>
  <c r="V16" i="3"/>
  <c r="T16" i="3"/>
  <c r="S16" i="3"/>
  <c r="W16" i="3" s="1"/>
  <c r="T20" i="3"/>
  <c r="S20" i="3"/>
  <c r="W20" i="3" s="1"/>
  <c r="V20" i="3"/>
  <c r="S24" i="3"/>
  <c r="W24" i="3" s="1"/>
  <c r="T24" i="3"/>
  <c r="V24" i="3"/>
  <c r="T28" i="3"/>
  <c r="V28" i="3"/>
  <c r="S28" i="3"/>
  <c r="W28" i="3" s="1"/>
  <c r="V32" i="3"/>
  <c r="T32" i="3"/>
  <c r="S32" i="3"/>
  <c r="W32" i="3" s="1"/>
  <c r="T36" i="3"/>
  <c r="S36" i="3"/>
  <c r="W36" i="3" s="1"/>
  <c r="V36" i="3"/>
  <c r="T40" i="3"/>
  <c r="S40" i="3"/>
  <c r="W40" i="3" s="1"/>
  <c r="V40" i="3"/>
  <c r="S44" i="3"/>
  <c r="W44" i="3" s="1"/>
  <c r="V44" i="3"/>
  <c r="T44" i="3"/>
  <c r="V48" i="3"/>
  <c r="T48" i="3"/>
  <c r="S48" i="3"/>
  <c r="W48" i="3" s="1"/>
  <c r="T52" i="3"/>
  <c r="S52" i="3"/>
  <c r="W52" i="3" s="1"/>
  <c r="V52" i="3"/>
  <c r="V56" i="3"/>
  <c r="S56" i="3"/>
  <c r="W56" i="3" s="1"/>
  <c r="T56" i="3"/>
  <c r="T60" i="3"/>
  <c r="S60" i="3"/>
  <c r="W60" i="3" s="1"/>
  <c r="V60" i="3"/>
  <c r="V64" i="3"/>
  <c r="T64" i="3"/>
  <c r="S64" i="3"/>
  <c r="W64" i="3" s="1"/>
  <c r="T68" i="3"/>
  <c r="S68" i="3"/>
  <c r="W68" i="3" s="1"/>
  <c r="V68" i="3"/>
  <c r="T72" i="3"/>
  <c r="V72" i="3"/>
  <c r="S72" i="3"/>
  <c r="W72" i="3" s="1"/>
  <c r="S76" i="3"/>
  <c r="W76" i="3" s="1"/>
  <c r="T76" i="3"/>
  <c r="V76" i="3"/>
  <c r="V80" i="3"/>
  <c r="T80" i="3"/>
  <c r="S80" i="3"/>
  <c r="W80" i="3" s="1"/>
  <c r="T84" i="3"/>
  <c r="S84" i="3"/>
  <c r="W84" i="3" s="1"/>
  <c r="V84" i="3"/>
  <c r="S88" i="3"/>
  <c r="W88" i="3" s="1"/>
  <c r="T88" i="3"/>
  <c r="V88" i="3"/>
  <c r="T92" i="3"/>
  <c r="V92" i="3"/>
  <c r="S92" i="3"/>
  <c r="W92" i="3" s="1"/>
  <c r="V96" i="3"/>
  <c r="T96" i="3"/>
  <c r="S96" i="3"/>
  <c r="W96" i="3" s="1"/>
  <c r="T100" i="3"/>
  <c r="S100" i="3"/>
  <c r="W100" i="3" s="1"/>
  <c r="V100" i="3"/>
  <c r="T104" i="3"/>
  <c r="S104" i="3"/>
  <c r="W104" i="3" s="1"/>
  <c r="V104" i="3"/>
  <c r="S108" i="3"/>
  <c r="W108" i="3" s="1"/>
  <c r="V108" i="3"/>
  <c r="T108" i="3"/>
  <c r="V112" i="3"/>
  <c r="T112" i="3"/>
  <c r="S112" i="3"/>
  <c r="W112" i="3" s="1"/>
  <c r="T116" i="3"/>
  <c r="S116" i="3"/>
  <c r="W116" i="3" s="1"/>
  <c r="V116" i="3"/>
  <c r="V120" i="3"/>
  <c r="S120" i="3"/>
  <c r="W120" i="3" s="1"/>
  <c r="T120" i="3"/>
  <c r="T124" i="3"/>
  <c r="S124" i="3"/>
  <c r="W124" i="3" s="1"/>
  <c r="V124" i="3"/>
  <c r="V128" i="3"/>
  <c r="T128" i="3"/>
  <c r="S128" i="3"/>
  <c r="W128" i="3" s="1"/>
  <c r="T132" i="3"/>
  <c r="S132" i="3"/>
  <c r="W132" i="3" s="1"/>
  <c r="V132" i="3"/>
  <c r="T136" i="3"/>
  <c r="V136" i="3"/>
  <c r="S136" i="3"/>
  <c r="W136" i="3" s="1"/>
  <c r="S140" i="3"/>
  <c r="W140" i="3" s="1"/>
  <c r="T140" i="3"/>
  <c r="V140" i="3"/>
  <c r="V144" i="3"/>
  <c r="T144" i="3"/>
  <c r="S144" i="3"/>
  <c r="W144" i="3" s="1"/>
  <c r="T148" i="3"/>
  <c r="S148" i="3"/>
  <c r="W148" i="3" s="1"/>
  <c r="V148" i="3"/>
  <c r="S152" i="3"/>
  <c r="W152" i="3" s="1"/>
  <c r="T152" i="3"/>
  <c r="V152" i="3"/>
  <c r="T156" i="3"/>
  <c r="V156" i="3"/>
  <c r="S156" i="3"/>
  <c r="W156" i="3" s="1"/>
  <c r="V160" i="3"/>
  <c r="T160" i="3"/>
  <c r="S160" i="3"/>
  <c r="W160" i="3" s="1"/>
  <c r="T164" i="3"/>
  <c r="S164" i="3"/>
  <c r="W164" i="3" s="1"/>
  <c r="V164" i="3"/>
  <c r="V168" i="3"/>
  <c r="T168" i="3"/>
  <c r="S168" i="3"/>
  <c r="W168" i="3" s="1"/>
  <c r="V172" i="3"/>
  <c r="S172" i="3"/>
  <c r="W172" i="3" s="1"/>
  <c r="T172" i="3"/>
  <c r="V176" i="3"/>
  <c r="T176" i="3"/>
  <c r="S176" i="3"/>
  <c r="W176" i="3" s="1"/>
  <c r="T180" i="3"/>
  <c r="S180" i="3"/>
  <c r="W180" i="3" s="1"/>
  <c r="V180" i="3"/>
  <c r="V184" i="3"/>
  <c r="S184" i="3"/>
  <c r="W184" i="3" s="1"/>
  <c r="T184" i="3"/>
  <c r="V188" i="3"/>
  <c r="T188" i="3"/>
  <c r="S188" i="3"/>
  <c r="W188" i="3" s="1"/>
  <c r="V192" i="3"/>
  <c r="T192" i="3"/>
  <c r="S192" i="3"/>
  <c r="W192" i="3" s="1"/>
  <c r="T196" i="3"/>
  <c r="S196" i="3"/>
  <c r="W196" i="3" s="1"/>
  <c r="V196" i="3"/>
  <c r="V200" i="3"/>
  <c r="T200" i="3"/>
  <c r="S200" i="3"/>
  <c r="W200" i="3" s="1"/>
  <c r="V204" i="3"/>
  <c r="S204" i="3"/>
  <c r="W204" i="3" s="1"/>
  <c r="T204" i="3"/>
  <c r="V208" i="3"/>
  <c r="T208" i="3"/>
  <c r="S208" i="3"/>
  <c r="W208" i="3" s="1"/>
  <c r="T212" i="3"/>
  <c r="S212" i="3"/>
  <c r="W212" i="3" s="1"/>
  <c r="V212" i="3"/>
  <c r="V216" i="3"/>
  <c r="S216" i="3"/>
  <c r="W216" i="3" s="1"/>
  <c r="T216" i="3"/>
  <c r="V220" i="3"/>
  <c r="T220" i="3"/>
  <c r="S220" i="3"/>
  <c r="W220" i="3" s="1"/>
  <c r="V224" i="3"/>
  <c r="T224" i="3"/>
  <c r="S224" i="3"/>
  <c r="W224" i="3" s="1"/>
  <c r="T228" i="3"/>
  <c r="S228" i="3"/>
  <c r="W228" i="3" s="1"/>
  <c r="V228" i="3"/>
  <c r="V232" i="3"/>
  <c r="T232" i="3"/>
  <c r="S232" i="3"/>
  <c r="W232" i="3" s="1"/>
  <c r="V236" i="3"/>
  <c r="S236" i="3"/>
  <c r="W236" i="3" s="1"/>
  <c r="T236" i="3"/>
  <c r="V240" i="3"/>
  <c r="T240" i="3"/>
  <c r="S240" i="3"/>
  <c r="W240" i="3" s="1"/>
  <c r="T244" i="3"/>
  <c r="S244" i="3"/>
  <c r="W244" i="3" s="1"/>
  <c r="V244" i="3"/>
  <c r="V248" i="3"/>
  <c r="S248" i="3"/>
  <c r="W248" i="3" s="1"/>
  <c r="T248" i="3"/>
  <c r="T3" i="3"/>
  <c r="V3" i="3"/>
  <c r="S3" i="3"/>
  <c r="W3" i="3" s="1"/>
  <c r="S5" i="3"/>
  <c r="W5" i="3" s="1"/>
  <c r="V5" i="3"/>
  <c r="T5" i="3"/>
  <c r="S9" i="3"/>
  <c r="W9" i="3" s="1"/>
  <c r="T9" i="3"/>
  <c r="V9" i="3"/>
  <c r="S13" i="3"/>
  <c r="W13" i="3" s="1"/>
  <c r="V13" i="3"/>
  <c r="T13" i="3"/>
  <c r="S17" i="3"/>
  <c r="W17" i="3" s="1"/>
  <c r="T17" i="3"/>
  <c r="V17" i="3"/>
  <c r="S21" i="3"/>
  <c r="W21" i="3" s="1"/>
  <c r="V21" i="3"/>
  <c r="T21" i="3"/>
  <c r="S25" i="3"/>
  <c r="W25" i="3" s="1"/>
  <c r="T25" i="3"/>
  <c r="V25" i="3"/>
  <c r="S29" i="3"/>
  <c r="W29" i="3" s="1"/>
  <c r="T29" i="3"/>
  <c r="V29" i="3"/>
  <c r="S33" i="3"/>
  <c r="W33" i="3" s="1"/>
  <c r="T33" i="3"/>
  <c r="V33" i="3"/>
  <c r="S37" i="3"/>
  <c r="W37" i="3" s="1"/>
  <c r="V37" i="3"/>
  <c r="T37" i="3"/>
  <c r="S41" i="3"/>
  <c r="W41" i="3" s="1"/>
  <c r="T41" i="3"/>
  <c r="V41" i="3"/>
  <c r="S45" i="3"/>
  <c r="W45" i="3" s="1"/>
  <c r="T45" i="3"/>
  <c r="V45" i="3"/>
  <c r="S49" i="3"/>
  <c r="W49" i="3" s="1"/>
  <c r="T49" i="3"/>
  <c r="V49" i="3"/>
  <c r="S53" i="3"/>
  <c r="W53" i="3" s="1"/>
  <c r="V53" i="3"/>
  <c r="T53" i="3"/>
  <c r="S57" i="3"/>
  <c r="W57" i="3" s="1"/>
  <c r="T57" i="3"/>
  <c r="V57" i="3"/>
  <c r="S61" i="3"/>
  <c r="W61" i="3" s="1"/>
  <c r="T61" i="3"/>
  <c r="V61" i="3"/>
  <c r="S65" i="3"/>
  <c r="W65" i="3" s="1"/>
  <c r="V65" i="3"/>
  <c r="T65" i="3"/>
  <c r="S69" i="3"/>
  <c r="W69" i="3" s="1"/>
  <c r="V69" i="3"/>
  <c r="T69" i="3"/>
  <c r="S73" i="3"/>
  <c r="W73" i="3" s="1"/>
  <c r="T73" i="3"/>
  <c r="V73" i="3"/>
  <c r="S77" i="3"/>
  <c r="W77" i="3" s="1"/>
  <c r="V77" i="3"/>
  <c r="T77" i="3"/>
  <c r="S81" i="3"/>
  <c r="W81" i="3" s="1"/>
  <c r="T81" i="3"/>
  <c r="V81" i="3"/>
  <c r="S85" i="3"/>
  <c r="W85" i="3" s="1"/>
  <c r="V85" i="3"/>
  <c r="T85" i="3"/>
  <c r="S89" i="3"/>
  <c r="W89" i="3" s="1"/>
  <c r="T89" i="3"/>
  <c r="V89" i="3"/>
  <c r="S93" i="3"/>
  <c r="W93" i="3" s="1"/>
  <c r="T93" i="3"/>
  <c r="V93" i="3"/>
  <c r="S97" i="3"/>
  <c r="W97" i="3" s="1"/>
  <c r="T97" i="3"/>
  <c r="V97" i="3"/>
  <c r="S101" i="3"/>
  <c r="W101" i="3" s="1"/>
  <c r="V101" i="3"/>
  <c r="T101" i="3"/>
  <c r="S105" i="3"/>
  <c r="W105" i="3" s="1"/>
  <c r="T105" i="3"/>
  <c r="V105" i="3"/>
  <c r="S109" i="3"/>
  <c r="W109" i="3" s="1"/>
  <c r="T109" i="3"/>
  <c r="V109" i="3"/>
  <c r="S113" i="3"/>
  <c r="W113" i="3" s="1"/>
  <c r="T113" i="3"/>
  <c r="V113" i="3"/>
  <c r="S117" i="3"/>
  <c r="W117" i="3" s="1"/>
  <c r="V117" i="3"/>
  <c r="T117" i="3"/>
  <c r="S121" i="3"/>
  <c r="W121" i="3" s="1"/>
  <c r="T121" i="3"/>
  <c r="V121" i="3"/>
  <c r="S125" i="3"/>
  <c r="W125" i="3" s="1"/>
  <c r="T125" i="3"/>
  <c r="V125" i="3"/>
  <c r="S129" i="3"/>
  <c r="W129" i="3" s="1"/>
  <c r="V129" i="3"/>
  <c r="T129" i="3"/>
  <c r="S133" i="3"/>
  <c r="W133" i="3" s="1"/>
  <c r="V133" i="3"/>
  <c r="T133" i="3"/>
  <c r="S137" i="3"/>
  <c r="W137" i="3" s="1"/>
  <c r="T137" i="3"/>
  <c r="V137" i="3"/>
  <c r="S141" i="3"/>
  <c r="W141" i="3" s="1"/>
  <c r="V141" i="3"/>
  <c r="T141" i="3"/>
  <c r="S145" i="3"/>
  <c r="W145" i="3" s="1"/>
  <c r="T145" i="3"/>
  <c r="V145" i="3"/>
  <c r="S149" i="3"/>
  <c r="W149" i="3" s="1"/>
  <c r="V149" i="3"/>
  <c r="T149" i="3"/>
  <c r="S153" i="3"/>
  <c r="W153" i="3" s="1"/>
  <c r="T153" i="3"/>
  <c r="V153" i="3"/>
  <c r="S157" i="3"/>
  <c r="W157" i="3" s="1"/>
  <c r="T157" i="3"/>
  <c r="V157" i="3"/>
  <c r="S161" i="3"/>
  <c r="W161" i="3" s="1"/>
  <c r="T161" i="3"/>
  <c r="V161" i="3"/>
  <c r="S165" i="3"/>
  <c r="W165" i="3" s="1"/>
  <c r="T165" i="3"/>
  <c r="V165" i="3"/>
  <c r="S169" i="3"/>
  <c r="W169" i="3" s="1"/>
  <c r="T169" i="3"/>
  <c r="V169" i="3"/>
  <c r="S173" i="3"/>
  <c r="W173" i="3" s="1"/>
  <c r="V173" i="3"/>
  <c r="T173" i="3"/>
  <c r="S177" i="3"/>
  <c r="W177" i="3" s="1"/>
  <c r="T177" i="3"/>
  <c r="V177" i="3"/>
  <c r="S181" i="3"/>
  <c r="W181" i="3" s="1"/>
  <c r="T181" i="3"/>
  <c r="V181" i="3"/>
  <c r="S185" i="3"/>
  <c r="W185" i="3" s="1"/>
  <c r="T185" i="3"/>
  <c r="V185" i="3"/>
  <c r="S189" i="3"/>
  <c r="W189" i="3" s="1"/>
  <c r="V189" i="3"/>
  <c r="T189" i="3"/>
  <c r="S193" i="3"/>
  <c r="W193" i="3" s="1"/>
  <c r="T193" i="3"/>
  <c r="V193" i="3"/>
  <c r="S197" i="3"/>
  <c r="W197" i="3" s="1"/>
  <c r="T197" i="3"/>
  <c r="V197" i="3"/>
  <c r="S201" i="3"/>
  <c r="W201" i="3" s="1"/>
  <c r="T201" i="3"/>
  <c r="V201" i="3"/>
  <c r="S205" i="3"/>
  <c r="W205" i="3" s="1"/>
  <c r="V205" i="3"/>
  <c r="T205" i="3"/>
  <c r="S209" i="3"/>
  <c r="W209" i="3" s="1"/>
  <c r="T209" i="3"/>
  <c r="V209" i="3"/>
  <c r="S213" i="3"/>
  <c r="W213" i="3" s="1"/>
  <c r="T213" i="3"/>
  <c r="V213" i="3"/>
  <c r="S217" i="3"/>
  <c r="W217" i="3" s="1"/>
  <c r="T217" i="3"/>
  <c r="V217" i="3"/>
  <c r="S221" i="3"/>
  <c r="W221" i="3" s="1"/>
  <c r="V221" i="3"/>
  <c r="T221" i="3"/>
  <c r="S225" i="3"/>
  <c r="W225" i="3" s="1"/>
  <c r="T225" i="3"/>
  <c r="V225" i="3"/>
  <c r="S229" i="3"/>
  <c r="W229" i="3" s="1"/>
  <c r="T229" i="3"/>
  <c r="V229" i="3"/>
  <c r="S233" i="3"/>
  <c r="W233" i="3" s="1"/>
  <c r="T233" i="3"/>
  <c r="V233" i="3"/>
  <c r="S237" i="3"/>
  <c r="W237" i="3" s="1"/>
  <c r="V237" i="3"/>
  <c r="T237" i="3"/>
  <c r="S241" i="3"/>
  <c r="W241" i="3" s="1"/>
  <c r="T241" i="3"/>
  <c r="V241" i="3"/>
  <c r="S245" i="3"/>
  <c r="W245" i="3" s="1"/>
  <c r="T245" i="3"/>
  <c r="V245" i="3"/>
  <c r="S249" i="3"/>
  <c r="W249" i="3" s="1"/>
  <c r="T249" i="3"/>
  <c r="V249" i="3"/>
  <c r="S2" i="3"/>
  <c r="V2" i="3"/>
  <c r="T2" i="3"/>
  <c r="X245" i="3" l="1"/>
  <c r="X229" i="3"/>
  <c r="X213" i="3"/>
  <c r="X197" i="3"/>
  <c r="X181" i="3"/>
  <c r="X165" i="3"/>
  <c r="X232" i="3"/>
  <c r="X200" i="3"/>
  <c r="X168" i="3"/>
  <c r="X82" i="3"/>
  <c r="X66" i="3"/>
  <c r="X50" i="3"/>
  <c r="X18" i="3"/>
  <c r="X2" i="2"/>
  <c r="X252" i="2" s="1"/>
  <c r="X149" i="3"/>
  <c r="X133" i="3"/>
  <c r="X117" i="3"/>
  <c r="X101" i="3"/>
  <c r="X85" i="3"/>
  <c r="X69" i="3"/>
  <c r="X53" i="3"/>
  <c r="X37" i="3"/>
  <c r="X21" i="3"/>
  <c r="X5" i="3"/>
  <c r="X244" i="3"/>
  <c r="X228" i="3"/>
  <c r="X212" i="3"/>
  <c r="X196" i="3"/>
  <c r="X180" i="3"/>
  <c r="X164" i="3"/>
  <c r="X148" i="3"/>
  <c r="X132" i="3"/>
  <c r="X116" i="3"/>
  <c r="X100" i="3"/>
  <c r="X84" i="3"/>
  <c r="X68" i="3"/>
  <c r="X52" i="3"/>
  <c r="X36" i="3"/>
  <c r="X20" i="3"/>
  <c r="X4" i="3"/>
  <c r="X239" i="3"/>
  <c r="X223" i="3"/>
  <c r="X207" i="3"/>
  <c r="X191" i="3"/>
  <c r="X175" i="3"/>
  <c r="X226" i="3"/>
  <c r="X194" i="3"/>
  <c r="X162" i="3"/>
  <c r="X130" i="3"/>
  <c r="X98" i="3"/>
  <c r="X34" i="3"/>
  <c r="X129" i="3"/>
  <c r="X65" i="3"/>
  <c r="X3" i="3"/>
  <c r="X248" i="3"/>
  <c r="X216" i="3"/>
  <c r="X184" i="3"/>
  <c r="X156" i="3"/>
  <c r="X120" i="3"/>
  <c r="X108" i="3"/>
  <c r="X92" i="3"/>
  <c r="X56" i="3"/>
  <c r="X44" i="3"/>
  <c r="X28" i="3"/>
  <c r="X251" i="3"/>
  <c r="X235" i="3"/>
  <c r="X231" i="3"/>
  <c r="X219" i="3"/>
  <c r="X203" i="3"/>
  <c r="X199" i="3"/>
  <c r="X187" i="3"/>
  <c r="X171" i="3"/>
  <c r="X167" i="3"/>
  <c r="X151" i="3"/>
  <c r="X135" i="3"/>
  <c r="X119" i="3"/>
  <c r="X103" i="3"/>
  <c r="X87" i="3"/>
  <c r="X71" i="3"/>
  <c r="X55" i="3"/>
  <c r="X39" i="3"/>
  <c r="X23" i="3"/>
  <c r="X7" i="3"/>
  <c r="X222" i="3"/>
  <c r="X190" i="3"/>
  <c r="X158" i="3"/>
  <c r="X146" i="3"/>
  <c r="X126" i="3"/>
  <c r="X94" i="3"/>
  <c r="X62" i="3"/>
  <c r="X30" i="3"/>
  <c r="X249" i="3"/>
  <c r="X233" i="3"/>
  <c r="X217" i="3"/>
  <c r="X201" i="3"/>
  <c r="X185" i="3"/>
  <c r="X169" i="3"/>
  <c r="X153" i="3"/>
  <c r="X137" i="3"/>
  <c r="X121" i="3"/>
  <c r="X105" i="3"/>
  <c r="X89" i="3"/>
  <c r="X73" i="3"/>
  <c r="X57" i="3"/>
  <c r="X41" i="3"/>
  <c r="X25" i="3"/>
  <c r="X9" i="3"/>
  <c r="X220" i="3"/>
  <c r="X188" i="3"/>
  <c r="X246" i="3"/>
  <c r="X230" i="3"/>
  <c r="X214" i="3"/>
  <c r="X198" i="3"/>
  <c r="X182" i="3"/>
  <c r="X166" i="3"/>
  <c r="X134" i="3"/>
  <c r="X118" i="3"/>
  <c r="X102" i="3"/>
  <c r="X70" i="3"/>
  <c r="X54" i="3"/>
  <c r="X38" i="3"/>
  <c r="X22" i="3"/>
  <c r="X6" i="3"/>
  <c r="X104" i="3"/>
  <c r="X40" i="3"/>
  <c r="X227" i="3"/>
  <c r="X195" i="3"/>
  <c r="X163" i="3"/>
  <c r="X86" i="3"/>
  <c r="X150" i="3"/>
  <c r="W2" i="3"/>
  <c r="W252" i="3" s="1"/>
  <c r="S252" i="3"/>
  <c r="X236" i="3"/>
  <c r="X204" i="3"/>
  <c r="X172" i="3"/>
  <c r="X155" i="3"/>
  <c r="X139" i="3"/>
  <c r="X123" i="3"/>
  <c r="X107" i="3"/>
  <c r="X91" i="3"/>
  <c r="X75" i="3"/>
  <c r="X59" i="3"/>
  <c r="X43" i="3"/>
  <c r="X27" i="3"/>
  <c r="X11" i="3"/>
  <c r="X114" i="3"/>
  <c r="X157" i="3"/>
  <c r="X125" i="3"/>
  <c r="X109" i="3"/>
  <c r="X93" i="3"/>
  <c r="X61" i="3"/>
  <c r="X45" i="3"/>
  <c r="X29" i="3"/>
  <c r="X240" i="3"/>
  <c r="X224" i="3"/>
  <c r="X208" i="3"/>
  <c r="X192" i="3"/>
  <c r="X176" i="3"/>
  <c r="X160" i="3"/>
  <c r="X152" i="3"/>
  <c r="X144" i="3"/>
  <c r="X128" i="3"/>
  <c r="X112" i="3"/>
  <c r="X96" i="3"/>
  <c r="X88" i="3"/>
  <c r="X80" i="3"/>
  <c r="X64" i="3"/>
  <c r="X48" i="3"/>
  <c r="X32" i="3"/>
  <c r="X24" i="3"/>
  <c r="X16" i="3"/>
  <c r="X159" i="3"/>
  <c r="X143" i="3"/>
  <c r="X127" i="3"/>
  <c r="X111" i="3"/>
  <c r="X95" i="3"/>
  <c r="X79" i="3"/>
  <c r="X63" i="3"/>
  <c r="X47" i="3"/>
  <c r="X31" i="3"/>
  <c r="X15" i="3"/>
  <c r="X250" i="3"/>
  <c r="X242" i="3"/>
  <c r="X234" i="3"/>
  <c r="X218" i="3"/>
  <c r="X210" i="3"/>
  <c r="X202" i="3"/>
  <c r="X186" i="3"/>
  <c r="X178" i="3"/>
  <c r="X170" i="3"/>
  <c r="T252" i="3"/>
  <c r="V252" i="3"/>
  <c r="X241" i="3"/>
  <c r="X237" i="3"/>
  <c r="X225" i="3"/>
  <c r="X221" i="3"/>
  <c r="X209" i="3"/>
  <c r="X205" i="3"/>
  <c r="X193" i="3"/>
  <c r="X189" i="3"/>
  <c r="X177" i="3"/>
  <c r="X173" i="3"/>
  <c r="X161" i="3"/>
  <c r="X145" i="3"/>
  <c r="X141" i="3"/>
  <c r="X113" i="3"/>
  <c r="X97" i="3"/>
  <c r="X81" i="3"/>
  <c r="X77" i="3"/>
  <c r="X49" i="3"/>
  <c r="X33" i="3"/>
  <c r="X17" i="3"/>
  <c r="X13" i="3"/>
  <c r="X140" i="3"/>
  <c r="X136" i="3"/>
  <c r="X124" i="3"/>
  <c r="X76" i="3"/>
  <c r="X72" i="3"/>
  <c r="X60" i="3"/>
  <c r="X12" i="3"/>
  <c r="X8" i="3"/>
  <c r="X247" i="3"/>
  <c r="X243" i="3"/>
  <c r="X215" i="3"/>
  <c r="X211" i="3"/>
  <c r="X183" i="3"/>
  <c r="X179" i="3"/>
  <c r="X147" i="3"/>
  <c r="X131" i="3"/>
  <c r="X115" i="3"/>
  <c r="X99" i="3"/>
  <c r="X83" i="3"/>
  <c r="X67" i="3"/>
  <c r="X51" i="3"/>
  <c r="X35" i="3"/>
  <c r="X19" i="3"/>
  <c r="X238" i="3"/>
  <c r="X206" i="3"/>
  <c r="X174" i="3"/>
  <c r="X154" i="3"/>
  <c r="X142" i="3"/>
  <c r="X138" i="3"/>
  <c r="X122" i="3"/>
  <c r="X110" i="3"/>
  <c r="X106" i="3"/>
  <c r="X90" i="3"/>
  <c r="X78" i="3"/>
  <c r="X74" i="3"/>
  <c r="X58" i="3"/>
  <c r="X46" i="3"/>
  <c r="X42" i="3"/>
  <c r="X26" i="3"/>
  <c r="X14" i="3"/>
  <c r="X10" i="3"/>
  <c r="X2" i="3" l="1"/>
  <c r="X252" i="3"/>
</calcChain>
</file>

<file path=xl/sharedStrings.xml><?xml version="1.0" encoding="utf-8"?>
<sst xmlns="http://schemas.openxmlformats.org/spreadsheetml/2006/main" count="823" uniqueCount="29">
  <si>
    <t>Rejet-Démarage</t>
  </si>
  <si>
    <t>Lubrification</t>
  </si>
  <si>
    <t>P1</t>
  </si>
  <si>
    <t>P2</t>
  </si>
  <si>
    <t>P3</t>
  </si>
  <si>
    <t>P4</t>
  </si>
  <si>
    <t>Rejet qualité</t>
  </si>
  <si>
    <t>Panne</t>
  </si>
  <si>
    <t>Arrêts mineurs</t>
  </si>
  <si>
    <t>Réglage dérive machine</t>
  </si>
  <si>
    <t>Inspection machine</t>
  </si>
  <si>
    <t>changement d'outil</t>
  </si>
  <si>
    <t>Déplacement/Manutention</t>
  </si>
  <si>
    <t>Nettoyage</t>
  </si>
  <si>
    <t>Remplacement préventif</t>
  </si>
  <si>
    <t>Produit</t>
  </si>
  <si>
    <t>pause</t>
  </si>
  <si>
    <t>TO</t>
  </si>
  <si>
    <t>TR</t>
  </si>
  <si>
    <t>total</t>
  </si>
  <si>
    <t>tfb</t>
  </si>
  <si>
    <t>tn</t>
  </si>
  <si>
    <t>tu</t>
  </si>
  <si>
    <t>TD</t>
  </si>
  <si>
    <t>TQ</t>
  </si>
  <si>
    <t>TP</t>
  </si>
  <si>
    <t>TRS</t>
  </si>
  <si>
    <t>Quantité</t>
  </si>
  <si>
    <t>Journée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</si>
</sst>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%"/>
    <numFmt numFmtId="166" formatCode="0.00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9" fontId="0" fillId="0" borderId="0" xfId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/>
    <xf numFmtId="0" fontId="4" fillId="0" borderId="0" xfId="0" applyFont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0" xfId="0" applyFill="1"/>
    <xf numFmtId="0" fontId="0" fillId="0" borderId="0" xfId="1" applyNumberFormat="1" applyFont="1"/>
    <xf numFmtId="0" fontId="0" fillId="0" borderId="0" xfId="1" applyNumberFormat="1" applyFont="1" applyFill="1" applyBorder="1" applyAlignment="1">
      <alignment horizontal="center"/>
    </xf>
    <xf numFmtId="165" fontId="0" fillId="5" borderId="0" xfId="1" applyNumberFormat="1" applyFont="1" applyFill="1" applyBorder="1" applyAlignment="1">
      <alignment horizontal="center"/>
    </xf>
    <xf numFmtId="166" fontId="0" fillId="5" borderId="0" xfId="1" applyNumberFormat="1" applyFont="1" applyFill="1" applyBorder="1" applyAlignment="1">
      <alignment horizontal="center"/>
    </xf>
    <xf numFmtId="164" fontId="0" fillId="9" borderId="0" xfId="1" applyNumberFormat="1" applyFont="1" applyFill="1"/>
    <xf numFmtId="164" fontId="0" fillId="5" borderId="0" xfId="1" applyNumberFormat="1" applyFont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rso" refreshedDate="46107.833581134262" createdVersion="8" refreshedVersion="8" minRefreshableVersion="3" recordCount="251" xr:uid="{0549BA03-8CE6-4818-A660-B6B17055ECB1}">
  <cacheSource type="worksheet">
    <worksheetSource ref="A1:X251" sheet="Découpe"/>
  </cacheSource>
  <cacheFields count="24">
    <cacheField name="Département de découpe" numFmtId="0">
      <sharedItems containsMixedTypes="1" containsNumber="1" containsInteger="1" minValue="1" maxValue="250" count="251">
        <s v="Journée 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</sharedItems>
    </cacheField>
    <cacheField name="Produit" numFmtId="0">
      <sharedItems count="5">
        <s v="Produit"/>
        <s v="P1"/>
        <s v="P3"/>
        <s v="P2"/>
        <s v="P4"/>
      </sharedItems>
    </cacheField>
    <cacheField name="Nb_Unités" numFmtId="0">
      <sharedItems containsMixedTypes="1" containsNumber="1" containsInteger="1" minValue="785" maxValue="1915"/>
    </cacheField>
    <cacheField name="Nb_Unités2" numFmtId="0">
      <sharedItems containsMixedTypes="1" containsNumber="1" containsInteger="1" minValue="10" maxValue="30"/>
    </cacheField>
    <cacheField name="Nb_Unités3" numFmtId="0">
      <sharedItems containsMixedTypes="1" containsNumber="1" containsInteger="1" minValue="5" maxValue="50"/>
    </cacheField>
    <cacheField name="NB_Minutes" numFmtId="0">
      <sharedItems containsMixedTypes="1" containsNumber="1" containsInteger="1" minValue="87" maxValue="226"/>
    </cacheField>
    <cacheField name="NB_Minutes2" numFmtId="0">
      <sharedItems containsMixedTypes="1" containsNumber="1" containsInteger="1" minValue="17" maxValue="64"/>
    </cacheField>
    <cacheField name="NB_Minutes3" numFmtId="0">
      <sharedItems containsMixedTypes="1" containsNumber="1" containsInteger="1" minValue="15" maxValue="20"/>
    </cacheField>
    <cacheField name="NB_Minutes4" numFmtId="0">
      <sharedItems containsMixedTypes="1" containsNumber="1" containsInteger="1" minValue="11" maxValue="64"/>
    </cacheField>
    <cacheField name="NB_Minutes5" numFmtId="0">
      <sharedItems containsMixedTypes="1" containsNumber="1" containsInteger="1" minValue="5" maxValue="13"/>
    </cacheField>
    <cacheField name="NB_Minutes6" numFmtId="0">
      <sharedItems containsBlank="1" containsMixedTypes="1" containsNumber="1" containsInteger="1" minValue="15" maxValue="40"/>
    </cacheField>
    <cacheField name="NB_Minutes7" numFmtId="0">
      <sharedItems containsMixedTypes="1" containsNumber="1" containsInteger="1" minValue="25" maxValue="38"/>
    </cacheField>
    <cacheField name="NB_Minutes8" numFmtId="0">
      <sharedItems containsBlank="1" containsMixedTypes="1" containsNumber="1" containsInteger="1" minValue="20" maxValue="300"/>
    </cacheField>
    <cacheField name="NB_Minutes9" numFmtId="0">
      <sharedItems containsMixedTypes="1" containsNumber="1" containsInteger="1" minValue="12" maxValue="20"/>
    </cacheField>
    <cacheField name="pause" numFmtId="0">
      <sharedItems containsString="0" containsBlank="1" containsNumber="1" containsInteger="1" minValue="150" maxValue="150"/>
    </cacheField>
    <cacheField name="TO" numFmtId="0">
      <sharedItems containsMixedTypes="1" containsNumber="1" containsInteger="1" minValue="960" maxValue="960"/>
    </cacheField>
    <cacheField name="TR" numFmtId="0">
      <sharedItems containsMixedTypes="1" containsNumber="1" containsInteger="1" minValue="470" maxValue="775"/>
    </cacheField>
    <cacheField name="tfb" numFmtId="0">
      <sharedItems containsMixedTypes="1" containsNumber="1" containsInteger="1" minValue="155" maxValue="586"/>
    </cacheField>
    <cacheField name="tn" numFmtId="0">
      <sharedItems containsMixedTypes="1" containsNumber="1" minValue="204.1" maxValue="497.90000000000003"/>
    </cacheField>
    <cacheField name="tu" numFmtId="0">
      <sharedItems containsMixedTypes="1" containsNumber="1" minValue="196.56" maxValue="481.52000000000004"/>
    </cacheField>
    <cacheField name="td" numFmtId="0">
      <sharedItems containsMixedTypes="1" containsNumber="1" minValue="0.32978723404255317" maxValue="0.78016085790884715"/>
    </cacheField>
    <cacheField name="tq" numFmtId="0">
      <sharedItems containsString="0" containsBlank="1" containsNumber="1" minValue="0.93465346534653471" maxValue="0.98957126303592124"/>
    </cacheField>
    <cacheField name="tp" numFmtId="0">
      <sharedItems containsString="0" containsBlank="1" containsNumber="1" minValue="0.42082474226804123" maxValue="2.3919999999999999"/>
    </cacheField>
    <cacheField name="TRS" numFmtId="0">
      <sharedItems containsString="0" containsBlank="1" containsNumber="1" minValue="0.25795275590551181" maxValue="0.758425531914893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">
  <r>
    <x v="0"/>
    <x v="0"/>
    <s v="Quantité "/>
    <s v="Rejet-Démarage"/>
    <s v="Rejet qualité"/>
    <s v="Panne"/>
    <s v="Arrêts mineurs"/>
    <s v="Nettoyage"/>
    <s v="Réglage dérive machine"/>
    <s v="Inspection machine"/>
    <s v="changement d'outil"/>
    <s v="Déplacement/Manutention"/>
    <s v="Remplacement préventif"/>
    <s v="Lubrification"/>
    <m/>
    <s v="NB_Minutes"/>
    <s v="NB_Minutes"/>
    <s v="NB_Minutes"/>
    <s v="NB_Minutes"/>
    <s v="NB_Minutes"/>
    <s v="NB_Minutes"/>
    <m/>
    <m/>
    <m/>
  </r>
  <r>
    <x v="1"/>
    <x v="1"/>
    <n v="1841"/>
    <n v="18"/>
    <n v="14"/>
    <n v="112"/>
    <n v="29"/>
    <n v="15"/>
    <n v="15"/>
    <n v="12"/>
    <n v="30"/>
    <n v="32"/>
    <m/>
    <n v="16"/>
    <n v="150"/>
    <n v="960"/>
    <n v="767"/>
    <n v="549"/>
    <n v="478.66"/>
    <n v="470.34000000000003"/>
    <n v="0.71577574967405477"/>
    <n v="0.98261814231395983"/>
    <n v="0.87187613843351552"/>
    <n v="0.61322033898305095"/>
  </r>
  <r>
    <x v="2"/>
    <x v="2"/>
    <n v="1755"/>
    <n v="18"/>
    <n v="28"/>
    <n v="145"/>
    <n v="29"/>
    <n v="16"/>
    <n v="18"/>
    <n v="10"/>
    <n v="30"/>
    <n v="32"/>
    <m/>
    <n v="17"/>
    <n v="150"/>
    <n v="960"/>
    <n v="767"/>
    <n v="513"/>
    <n v="456.3"/>
    <n v="444.34000000000003"/>
    <n v="0.66883963494132981"/>
    <n v="0.97378917378917373"/>
    <n v="0.88947368421052631"/>
    <n v="0.57932203389830506"/>
  </r>
  <r>
    <x v="3"/>
    <x v="3"/>
    <n v="1739"/>
    <n v="28"/>
    <n v="29"/>
    <n v="110"/>
    <n v="24"/>
    <n v="18"/>
    <n v="11"/>
    <n v="8"/>
    <n v="32"/>
    <n v="33"/>
    <m/>
    <n v="17"/>
    <n v="150"/>
    <n v="960"/>
    <n v="767"/>
    <n v="557"/>
    <n v="452.14000000000004"/>
    <n v="437.32"/>
    <n v="0.72620599739243807"/>
    <n v="0.96722254169062682"/>
    <n v="0.81174147217235193"/>
    <n v="0.57016949152542373"/>
  </r>
  <r>
    <x v="4"/>
    <x v="4"/>
    <n v="1802"/>
    <n v="14"/>
    <n v="21"/>
    <n v="107"/>
    <n v="30"/>
    <n v="16"/>
    <n v="21"/>
    <n v="8"/>
    <n v="28"/>
    <n v="35"/>
    <m/>
    <n v="17"/>
    <n v="150"/>
    <n v="960"/>
    <n v="769"/>
    <n v="548"/>
    <n v="468.52000000000004"/>
    <n v="459.42"/>
    <n v="0.71261378413524057"/>
    <n v="0.98057713651498335"/>
    <n v="0.85496350364963514"/>
    <n v="0.59742522756827054"/>
  </r>
  <r>
    <x v="5"/>
    <x v="1"/>
    <n v="1716"/>
    <n v="23"/>
    <n v="23"/>
    <n v="134"/>
    <n v="41"/>
    <n v="17"/>
    <n v="13"/>
    <n v="11"/>
    <n v="31"/>
    <n v="37"/>
    <m/>
    <n v="14"/>
    <n v="150"/>
    <n v="960"/>
    <n v="768"/>
    <n v="512"/>
    <n v="446.16"/>
    <n v="434.2"/>
    <n v="0.66666666666666663"/>
    <n v="0.97319347319347316"/>
    <n v="0.87140625000000005"/>
    <n v="0.56536458333333339"/>
  </r>
  <r>
    <x v="6"/>
    <x v="3"/>
    <n v="1872"/>
    <n v="16"/>
    <n v="40"/>
    <n v="133"/>
    <n v="26"/>
    <n v="18"/>
    <n v="11"/>
    <n v="10"/>
    <n v="31"/>
    <n v="34"/>
    <m/>
    <n v="14"/>
    <n v="150"/>
    <n v="960"/>
    <n v="768"/>
    <n v="533"/>
    <n v="486.72"/>
    <n v="472.16"/>
    <n v="0.69401041666666663"/>
    <n v="0.97008547008547008"/>
    <n v="0.91317073170731711"/>
    <n v="0.61479166666666663"/>
  </r>
  <r>
    <x v="7"/>
    <x v="3"/>
    <n v="1847"/>
    <n v="14"/>
    <n v="14"/>
    <n v="124"/>
    <n v="17"/>
    <n v="16"/>
    <n v="16"/>
    <n v="8"/>
    <m/>
    <n v="28"/>
    <m/>
    <n v="15"/>
    <n v="150"/>
    <n v="960"/>
    <n v="771"/>
    <n v="586"/>
    <n v="480.22"/>
    <n v="472.94"/>
    <n v="0.76005188067444873"/>
    <n v="0.98484028153762859"/>
    <n v="0.81948805460750862"/>
    <n v="0.61341115434500659"/>
  </r>
  <r>
    <x v="8"/>
    <x v="4"/>
    <n v="1877"/>
    <n v="10"/>
    <n v="39"/>
    <n v="119"/>
    <n v="25"/>
    <n v="17"/>
    <n v="17"/>
    <n v="9"/>
    <n v="20"/>
    <n v="31"/>
    <m/>
    <n v="17"/>
    <n v="150"/>
    <n v="960"/>
    <n v="767"/>
    <n v="555"/>
    <n v="488.02000000000004"/>
    <n v="475.28000000000003"/>
    <n v="0.72359843546284219"/>
    <n v="0.97389451251997872"/>
    <n v="0.87931531531531537"/>
    <n v="0.61966101694915254"/>
  </r>
  <r>
    <x v="9"/>
    <x v="1"/>
    <n v="1788"/>
    <n v="18"/>
    <n v="50"/>
    <n v="140"/>
    <n v="29"/>
    <n v="16"/>
    <n v="14"/>
    <n v="12"/>
    <n v="28"/>
    <n v="29"/>
    <m/>
    <n v="19"/>
    <n v="150"/>
    <n v="960"/>
    <n v="763"/>
    <n v="523"/>
    <n v="464.88"/>
    <n v="447.2"/>
    <n v="0.68545216251638275"/>
    <n v="0.96196868008948544"/>
    <n v="0.88887189292543023"/>
    <n v="0.58610747051114021"/>
  </r>
  <r>
    <x v="10"/>
    <x v="2"/>
    <n v="1781"/>
    <n v="18"/>
    <n v="43"/>
    <n v="87"/>
    <n v="21"/>
    <n v="20"/>
    <n v="12"/>
    <n v="9"/>
    <n v="15"/>
    <n v="29"/>
    <n v="20"/>
    <n v="15"/>
    <n v="150"/>
    <n v="960"/>
    <n v="746"/>
    <n v="582"/>
    <n v="463.06"/>
    <n v="447.2"/>
    <n v="0.78016085790884715"/>
    <n v="0.96574957888826507"/>
    <n v="0.79563573883161509"/>
    <n v="0.59946380697050938"/>
  </r>
  <r>
    <x v="11"/>
    <x v="3"/>
    <n v="1872"/>
    <n v="27"/>
    <n v="37"/>
    <n v="118"/>
    <n v="37"/>
    <n v="16"/>
    <n v="14"/>
    <n v="8"/>
    <n v="19"/>
    <n v="25"/>
    <m/>
    <n v="13"/>
    <n v="150"/>
    <n v="960"/>
    <n v="773"/>
    <n v="560"/>
    <n v="486.72"/>
    <n v="470.08000000000004"/>
    <n v="0.72445019404915911"/>
    <n v="0.96581196581196582"/>
    <n v="0.86914285714285722"/>
    <n v="0.60812419146183705"/>
  </r>
  <r>
    <x v="12"/>
    <x v="4"/>
    <n v="1915"/>
    <n v="13"/>
    <n v="50"/>
    <n v="126"/>
    <n v="30"/>
    <n v="16"/>
    <n v="18"/>
    <n v="8"/>
    <n v="23"/>
    <n v="35"/>
    <m/>
    <n v="16"/>
    <n v="150"/>
    <n v="960"/>
    <n v="770"/>
    <n v="538"/>
    <n v="497.90000000000003"/>
    <n v="481.52000000000004"/>
    <n v="0.69870129870129871"/>
    <n v="0.9671018276762402"/>
    <n v="0.92546468401486992"/>
    <n v="0.62535064935064932"/>
  </r>
  <r>
    <x v="13"/>
    <x v="3"/>
    <n v="1726"/>
    <n v="12"/>
    <n v="6"/>
    <n v="143"/>
    <n v="37"/>
    <n v="20"/>
    <n v="17"/>
    <n v="6"/>
    <n v="23"/>
    <n v="32"/>
    <m/>
    <n v="15"/>
    <n v="150"/>
    <n v="960"/>
    <n v="769"/>
    <n v="517"/>
    <n v="448.76"/>
    <n v="444.08000000000004"/>
    <n v="0.67230169050715216"/>
    <n v="0.98957126303592124"/>
    <n v="0.86800773694390709"/>
    <n v="0.5774772431729519"/>
  </r>
  <r>
    <x v="14"/>
    <x v="4"/>
    <n v="1861"/>
    <n v="27"/>
    <n v="49"/>
    <n v="118"/>
    <n v="31"/>
    <n v="15"/>
    <n v="17"/>
    <n v="12"/>
    <n v="28"/>
    <n v="27"/>
    <m/>
    <n v="16"/>
    <n v="150"/>
    <n v="960"/>
    <n v="767"/>
    <n v="546"/>
    <n v="483.86"/>
    <n v="464.1"/>
    <n v="0.71186440677966101"/>
    <n v="0.95916174099946261"/>
    <n v="0.8861904761904762"/>
    <n v="0.60508474576271176"/>
  </r>
  <r>
    <x v="15"/>
    <x v="1"/>
    <n v="1867"/>
    <n v="25"/>
    <n v="47"/>
    <n v="119"/>
    <n v="31"/>
    <n v="20"/>
    <n v="21"/>
    <n v="6"/>
    <n v="30"/>
    <n v="34"/>
    <m/>
    <n v="15"/>
    <n v="150"/>
    <n v="960"/>
    <n v="769"/>
    <n v="534"/>
    <n v="485.42"/>
    <n v="466.7"/>
    <n v="0.694408322496749"/>
    <n v="0.96143545795393681"/>
    <n v="0.90902621722846444"/>
    <n v="0.60689206762028602"/>
  </r>
  <r>
    <x v="16"/>
    <x v="2"/>
    <n v="1677"/>
    <n v="26"/>
    <n v="20"/>
    <n v="99"/>
    <n v="31"/>
    <n v="17"/>
    <n v="21"/>
    <n v="13"/>
    <n v="19"/>
    <n v="34"/>
    <m/>
    <n v="15"/>
    <n v="150"/>
    <n v="960"/>
    <n v="765"/>
    <n v="561"/>
    <n v="436.02000000000004"/>
    <n v="424.06"/>
    <n v="0.73333333333333328"/>
    <n v="0.97257006559332138"/>
    <n v="0.77721925133689851"/>
    <n v="0.55432679738562096"/>
  </r>
  <r>
    <x v="17"/>
    <x v="3"/>
    <n v="1725"/>
    <n v="30"/>
    <n v="18"/>
    <n v="119"/>
    <n v="32"/>
    <n v="17"/>
    <n v="18"/>
    <n v="8"/>
    <n v="33"/>
    <n v="33"/>
    <m/>
    <n v="16"/>
    <n v="150"/>
    <n v="960"/>
    <n v="769"/>
    <n v="534"/>
    <n v="448.5"/>
    <n v="436.02000000000004"/>
    <n v="0.694408322496749"/>
    <n v="0.97217391304347822"/>
    <n v="0.8398876404494382"/>
    <n v="0.56699609882964885"/>
  </r>
  <r>
    <x v="18"/>
    <x v="4"/>
    <n v="1888"/>
    <n v="20"/>
    <n v="50"/>
    <n v="108"/>
    <n v="29"/>
    <n v="16"/>
    <n v="27"/>
    <n v="11"/>
    <n v="30"/>
    <n v="32"/>
    <m/>
    <n v="19"/>
    <n v="150"/>
    <n v="960"/>
    <n v="764"/>
    <n v="538"/>
    <n v="490.88"/>
    <n v="472.68"/>
    <n v="0.70418848167539272"/>
    <n v="0.96292372881355937"/>
    <n v="0.91241635687732336"/>
    <n v="0.61869109947643974"/>
  </r>
  <r>
    <x v="19"/>
    <x v="2"/>
    <n v="1831"/>
    <n v="11"/>
    <n v="13"/>
    <n v="147"/>
    <n v="40"/>
    <n v="18"/>
    <n v="21"/>
    <n v="11"/>
    <n v="17"/>
    <n v="33"/>
    <m/>
    <n v="17"/>
    <n v="150"/>
    <n v="960"/>
    <n v="764"/>
    <n v="506"/>
    <n v="476.06"/>
    <n v="469.82"/>
    <n v="0.66230366492146597"/>
    <n v="0.98689240851993443"/>
    <n v="0.94083003952569166"/>
    <n v="0.61494764397905755"/>
  </r>
  <r>
    <x v="20"/>
    <x v="3"/>
    <n v="1827"/>
    <n v="11"/>
    <n v="48"/>
    <n v="133"/>
    <n v="20"/>
    <n v="16"/>
    <n v="22"/>
    <n v="7"/>
    <n v="28"/>
    <n v="26"/>
    <n v="25"/>
    <n v="19"/>
    <n v="150"/>
    <n v="960"/>
    <n v="743"/>
    <n v="514"/>
    <n v="475.02000000000004"/>
    <n v="459.68"/>
    <n v="0.69179004037685066"/>
    <n v="0.96770662287903664"/>
    <n v="0.92416342412451369"/>
    <n v="0.61868102288021543"/>
  </r>
  <r>
    <x v="21"/>
    <x v="1"/>
    <n v="1878"/>
    <n v="19"/>
    <n v="17"/>
    <n v="112"/>
    <n v="27"/>
    <n v="19"/>
    <n v="22"/>
    <n v="11"/>
    <n v="25"/>
    <n v="27"/>
    <m/>
    <n v="15"/>
    <n v="150"/>
    <n v="960"/>
    <n v="765"/>
    <n v="552"/>
    <n v="488.28000000000003"/>
    <n v="478.92"/>
    <n v="0.72156862745098038"/>
    <n v="0.98083067092651754"/>
    <n v="0.88456521739130445"/>
    <n v="0.62603921568627463"/>
  </r>
  <r>
    <x v="22"/>
    <x v="2"/>
    <n v="1883"/>
    <n v="10"/>
    <n v="22"/>
    <n v="113"/>
    <n v="37"/>
    <n v="20"/>
    <n v="18"/>
    <n v="10"/>
    <n v="22"/>
    <n v="32"/>
    <m/>
    <n v="14"/>
    <n v="150"/>
    <n v="960"/>
    <n v="766"/>
    <n v="544"/>
    <n v="489.58000000000004"/>
    <n v="481.26"/>
    <n v="0.71018276762402088"/>
    <n v="0.9830058417419012"/>
    <n v="0.8999632352941177"/>
    <n v="0.62827676240208885"/>
  </r>
  <r>
    <x v="23"/>
    <x v="3"/>
    <n v="1792"/>
    <n v="11"/>
    <n v="30"/>
    <n v="136"/>
    <n v="37"/>
    <n v="17"/>
    <n v="18"/>
    <n v="10"/>
    <n v="31"/>
    <n v="33"/>
    <m/>
    <n v="20"/>
    <n v="150"/>
    <n v="960"/>
    <n v="763"/>
    <n v="508"/>
    <n v="465.92"/>
    <n v="455.26"/>
    <n v="0.66579292267365664"/>
    <n v="0.9771205357142857"/>
    <n v="0.91716535433070867"/>
    <n v="0.59667103538663169"/>
  </r>
  <r>
    <x v="24"/>
    <x v="4"/>
    <n v="1763"/>
    <n v="19"/>
    <n v="35"/>
    <n v="134"/>
    <n v="27"/>
    <n v="17"/>
    <n v="26"/>
    <n v="9"/>
    <n v="25"/>
    <n v="36"/>
    <m/>
    <n v="18"/>
    <n v="150"/>
    <n v="960"/>
    <n v="766"/>
    <n v="518"/>
    <n v="458.38"/>
    <n v="444.34000000000003"/>
    <n v="0.67624020887728464"/>
    <n v="0.96937039137833236"/>
    <n v="0.88490347490347487"/>
    <n v="0.58007832898172318"/>
  </r>
  <r>
    <x v="25"/>
    <x v="2"/>
    <n v="1863"/>
    <n v="14"/>
    <n v="50"/>
    <n v="129"/>
    <n v="36"/>
    <n v="15"/>
    <n v="30"/>
    <n v="11"/>
    <n v="17"/>
    <n v="35"/>
    <m/>
    <n v="18"/>
    <n v="150"/>
    <n v="960"/>
    <n v="766"/>
    <n v="519"/>
    <n v="484.38"/>
    <n v="467.74"/>
    <n v="0.67754569190600522"/>
    <n v="0.96564680622651633"/>
    <n v="0.93329479768786128"/>
    <n v="0.61062663185378596"/>
  </r>
  <r>
    <x v="26"/>
    <x v="3"/>
    <n v="1791"/>
    <n v="30"/>
    <n v="20"/>
    <n v="113"/>
    <n v="32"/>
    <n v="15"/>
    <n v="30"/>
    <n v="10"/>
    <n v="18"/>
    <n v="33"/>
    <m/>
    <n v="16"/>
    <n v="150"/>
    <n v="960"/>
    <n v="769"/>
    <n v="543"/>
    <n v="465.66"/>
    <n v="452.66"/>
    <n v="0.70611183355006502"/>
    <n v="0.97208263539921835"/>
    <n v="0.85756906077348072"/>
    <n v="0.58863459037711319"/>
  </r>
  <r>
    <x v="27"/>
    <x v="4"/>
    <n v="1672"/>
    <n v="20"/>
    <n v="24"/>
    <n v="156"/>
    <n v="42"/>
    <n v="19"/>
    <n v="20"/>
    <n v="8"/>
    <n v="30"/>
    <n v="34"/>
    <m/>
    <n v="14"/>
    <n v="150"/>
    <n v="960"/>
    <n v="769"/>
    <n v="487"/>
    <n v="434.72"/>
    <n v="423.28000000000003"/>
    <n v="0.63328998699609884"/>
    <n v="0.97368421052631582"/>
    <n v="0.89264887063655041"/>
    <n v="0.55042912873862171"/>
  </r>
  <r>
    <x v="28"/>
    <x v="4"/>
    <n v="1716"/>
    <n v="21"/>
    <n v="29"/>
    <n v="115"/>
    <n v="27"/>
    <n v="18"/>
    <n v="20"/>
    <n v="12"/>
    <m/>
    <n v="38"/>
    <m/>
    <n v="15"/>
    <n v="150"/>
    <n v="960"/>
    <n v="765"/>
    <n v="565"/>
    <n v="446.16"/>
    <n v="433.16"/>
    <n v="0.73856209150326801"/>
    <n v="0.97086247086247091"/>
    <n v="0.78966371681415937"/>
    <n v="0.5662222222222224"/>
  </r>
  <r>
    <x v="29"/>
    <x v="2"/>
    <n v="1832"/>
    <n v="10"/>
    <n v="35"/>
    <n v="121"/>
    <n v="34"/>
    <n v="20"/>
    <n v="28"/>
    <n v="8"/>
    <n v="24"/>
    <n v="30"/>
    <m/>
    <n v="17"/>
    <n v="150"/>
    <n v="960"/>
    <n v="765"/>
    <n v="528"/>
    <n v="476.32"/>
    <n v="464.62"/>
    <n v="0.69019607843137254"/>
    <n v="0.97543668122270744"/>
    <n v="0.9021212121212121"/>
    <n v="0.60734640522875816"/>
  </r>
  <r>
    <x v="30"/>
    <x v="3"/>
    <n v="1837"/>
    <n v="21"/>
    <n v="29"/>
    <n v="117"/>
    <n v="32"/>
    <n v="17"/>
    <n v="29"/>
    <n v="11"/>
    <n v="35"/>
    <n v="28"/>
    <n v="30"/>
    <n v="18"/>
    <n v="150"/>
    <n v="960"/>
    <n v="734"/>
    <n v="493"/>
    <n v="477.62"/>
    <n v="464.62"/>
    <n v="0.67166212534059944"/>
    <n v="0.97278170930865537"/>
    <n v="0.96880324543610552"/>
    <n v="0.63299727520435967"/>
  </r>
  <r>
    <x v="31"/>
    <x v="1"/>
    <n v="1812"/>
    <n v="24"/>
    <n v="45"/>
    <n v="115"/>
    <n v="29"/>
    <n v="15"/>
    <n v="23"/>
    <n v="12"/>
    <n v="36"/>
    <n v="27"/>
    <m/>
    <n v="17"/>
    <n v="150"/>
    <n v="960"/>
    <n v="766"/>
    <n v="536"/>
    <n v="471.12"/>
    <n v="453.18"/>
    <n v="0.69973890339425593"/>
    <n v="0.96192052980132448"/>
    <n v="0.87895522388059699"/>
    <n v="0.59161879895561365"/>
  </r>
  <r>
    <x v="32"/>
    <x v="2"/>
    <n v="1701"/>
    <n v="15"/>
    <n v="15"/>
    <n v="134"/>
    <n v="38"/>
    <n v="20"/>
    <n v="22"/>
    <n v="8"/>
    <n v="18"/>
    <n v="36"/>
    <m/>
    <n v="13"/>
    <n v="150"/>
    <n v="960"/>
    <n v="769"/>
    <n v="521"/>
    <n v="442.26"/>
    <n v="434.46000000000004"/>
    <n v="0.67750325097529263"/>
    <n v="0.98236331569664903"/>
    <n v="0.84886756238003835"/>
    <n v="0.56496749024707416"/>
  </r>
  <r>
    <x v="33"/>
    <x v="3"/>
    <n v="1731"/>
    <n v="27"/>
    <n v="30"/>
    <n v="126"/>
    <n v="34"/>
    <n v="20"/>
    <n v="32"/>
    <n v="9"/>
    <n v="31"/>
    <n v="27"/>
    <m/>
    <n v="16"/>
    <n v="150"/>
    <n v="960"/>
    <n v="765"/>
    <n v="515"/>
    <n v="450.06"/>
    <n v="435.24"/>
    <n v="0.67320261437908502"/>
    <n v="0.96707105719237429"/>
    <n v="0.87390291262135922"/>
    <n v="0.56894117647058828"/>
  </r>
  <r>
    <x v="34"/>
    <x v="3"/>
    <n v="1654"/>
    <n v="25"/>
    <n v="45"/>
    <n v="125"/>
    <n v="27"/>
    <n v="17"/>
    <n v="32"/>
    <n v="10"/>
    <m/>
    <n v="33"/>
    <m/>
    <n v="15"/>
    <n v="150"/>
    <n v="960"/>
    <n v="768"/>
    <n v="551"/>
    <n v="430.04"/>
    <n v="411.84000000000003"/>
    <n v="0.71744791666666663"/>
    <n v="0.95767835550181379"/>
    <n v="0.78047186932849366"/>
    <n v="0.53624999999999989"/>
  </r>
  <r>
    <x v="35"/>
    <x v="4"/>
    <n v="1675"/>
    <n v="24"/>
    <n v="11"/>
    <n v="136"/>
    <n v="31"/>
    <n v="15"/>
    <n v="30"/>
    <n v="10"/>
    <n v="32"/>
    <n v="36"/>
    <m/>
    <n v="20"/>
    <n v="150"/>
    <n v="960"/>
    <n v="765"/>
    <n v="500"/>
    <n v="435.5"/>
    <n v="426.40000000000003"/>
    <n v="0.65359477124183007"/>
    <n v="0.9791044776119403"/>
    <n v="0.871"/>
    <n v="0.55738562091503263"/>
  </r>
  <r>
    <x v="36"/>
    <x v="2"/>
    <n v="1706"/>
    <n v="25"/>
    <n v="21"/>
    <n v="128"/>
    <n v="39"/>
    <n v="17"/>
    <n v="35"/>
    <n v="13"/>
    <n v="18"/>
    <n v="34"/>
    <m/>
    <n v="18"/>
    <n v="150"/>
    <n v="960"/>
    <n v="762"/>
    <n v="508"/>
    <n v="443.56"/>
    <n v="431.6"/>
    <n v="0.66666666666666663"/>
    <n v="0.97303634232121927"/>
    <n v="0.87314960629921257"/>
    <n v="0.5664041994750656"/>
  </r>
  <r>
    <x v="37"/>
    <x v="3"/>
    <n v="1661"/>
    <n v="13"/>
    <n v="20"/>
    <n v="126"/>
    <n v="43"/>
    <n v="20"/>
    <n v="29"/>
    <n v="10"/>
    <n v="31"/>
    <n v="27"/>
    <m/>
    <n v="17"/>
    <n v="150"/>
    <n v="960"/>
    <n v="763"/>
    <n v="507"/>
    <n v="431.86"/>
    <n v="423.28000000000003"/>
    <n v="0.66448230668414154"/>
    <n v="0.98013245033112584"/>
    <n v="0.85179487179487179"/>
    <n v="0.55475753604193967"/>
  </r>
  <r>
    <x v="38"/>
    <x v="1"/>
    <n v="1747"/>
    <n v="13"/>
    <n v="26"/>
    <n v="139"/>
    <n v="31"/>
    <n v="18"/>
    <n v="31"/>
    <n v="10"/>
    <n v="22"/>
    <n v="28"/>
    <m/>
    <n v="17"/>
    <n v="150"/>
    <n v="960"/>
    <n v="765"/>
    <n v="514"/>
    <n v="454.22"/>
    <n v="444.08000000000004"/>
    <n v="0.67189542483660136"/>
    <n v="0.97767601602747567"/>
    <n v="0.88369649805447481"/>
    <n v="0.58049673202614394"/>
  </r>
  <r>
    <x v="39"/>
    <x v="2"/>
    <n v="1802"/>
    <n v="29"/>
    <n v="27"/>
    <n v="140"/>
    <n v="27"/>
    <n v="20"/>
    <n v="19"/>
    <n v="6"/>
    <n v="36"/>
    <n v="32"/>
    <m/>
    <n v="20"/>
    <n v="150"/>
    <n v="960"/>
    <n v="764"/>
    <n v="510"/>
    <n v="468.52000000000004"/>
    <n v="453.96000000000004"/>
    <n v="0.66753926701570676"/>
    <n v="0.96892341842397334"/>
    <n v="0.91866666666666674"/>
    <n v="0.59418848167539262"/>
  </r>
  <r>
    <x v="40"/>
    <x v="3"/>
    <n v="1777"/>
    <n v="10"/>
    <n v="48"/>
    <n v="118"/>
    <n v="40"/>
    <n v="20"/>
    <n v="35"/>
    <n v="9"/>
    <n v="17"/>
    <n v="37"/>
    <n v="40"/>
    <n v="15"/>
    <n v="150"/>
    <n v="960"/>
    <n v="726"/>
    <n v="479"/>
    <n v="462.02000000000004"/>
    <n v="446.94"/>
    <n v="0.65977961432506882"/>
    <n v="0.96736072031513787"/>
    <n v="0.96455114822546983"/>
    <n v="0.61561983471074377"/>
  </r>
  <r>
    <x v="41"/>
    <x v="4"/>
    <n v="1668"/>
    <n v="24"/>
    <n v="13"/>
    <n v="126"/>
    <n v="37"/>
    <n v="16"/>
    <n v="25"/>
    <n v="7"/>
    <n v="29"/>
    <n v="26"/>
    <m/>
    <n v="17"/>
    <n v="150"/>
    <n v="960"/>
    <n v="770"/>
    <n v="527"/>
    <n v="433.68"/>
    <n v="424.06"/>
    <n v="0.68441558441558437"/>
    <n v="0.97781774580335734"/>
    <n v="0.82292220113851988"/>
    <n v="0.55072727272727273"/>
  </r>
  <r>
    <x v="42"/>
    <x v="2"/>
    <n v="1600"/>
    <n v="24"/>
    <n v="37"/>
    <n v="153"/>
    <n v="42"/>
    <n v="19"/>
    <n v="29"/>
    <n v="5"/>
    <n v="24"/>
    <n v="29"/>
    <m/>
    <n v="18"/>
    <n v="150"/>
    <n v="960"/>
    <n v="768"/>
    <n v="491"/>
    <n v="416"/>
    <n v="400.14"/>
    <n v="0.63932291666666663"/>
    <n v="0.96187500000000004"/>
    <n v="0.84725050916496947"/>
    <n v="0.52101562499999998"/>
  </r>
  <r>
    <x v="43"/>
    <x v="3"/>
    <n v="1748"/>
    <n v="15"/>
    <n v="35"/>
    <n v="157"/>
    <n v="35"/>
    <n v="20"/>
    <n v="38"/>
    <n v="8"/>
    <n v="16"/>
    <n v="29"/>
    <m/>
    <n v="15"/>
    <n v="150"/>
    <n v="960"/>
    <n v="767"/>
    <n v="492"/>
    <n v="454.48"/>
    <n v="441.48"/>
    <n v="0.64146023468057367"/>
    <n v="0.97139588100686503"/>
    <n v="0.92373983739837406"/>
    <n v="0.57559322033898319"/>
  </r>
  <r>
    <x v="44"/>
    <x v="1"/>
    <n v="1745"/>
    <n v="28"/>
    <n v="37"/>
    <n v="136"/>
    <n v="30"/>
    <n v="17"/>
    <n v="35"/>
    <n v="10"/>
    <n v="18"/>
    <n v="32"/>
    <m/>
    <n v="13"/>
    <n v="150"/>
    <n v="960"/>
    <n v="770"/>
    <n v="519"/>
    <n v="453.7"/>
    <n v="436.8"/>
    <n v="0.67402597402597397"/>
    <n v="0.96275071633237819"/>
    <n v="0.87418111753371863"/>
    <n v="0.56727272727272715"/>
  </r>
  <r>
    <x v="45"/>
    <x v="2"/>
    <n v="1575"/>
    <n v="29"/>
    <n v="35"/>
    <n v="143"/>
    <n v="25"/>
    <n v="20"/>
    <n v="28"/>
    <n v="8"/>
    <n v="35"/>
    <n v="32"/>
    <m/>
    <n v="17"/>
    <n v="150"/>
    <n v="960"/>
    <n v="765"/>
    <n v="502"/>
    <n v="409.5"/>
    <n v="392.86"/>
    <n v="0.65620915032679739"/>
    <n v="0.95936507936507931"/>
    <n v="0.81573705179282874"/>
    <n v="0.51354248366013067"/>
  </r>
  <r>
    <x v="46"/>
    <x v="3"/>
    <n v="1676"/>
    <n v="20"/>
    <n v="11"/>
    <n v="132"/>
    <n v="30"/>
    <n v="17"/>
    <n v="25"/>
    <n v="12"/>
    <n v="33"/>
    <n v="37"/>
    <m/>
    <n v="13"/>
    <n v="150"/>
    <n v="960"/>
    <n v="768"/>
    <n v="511"/>
    <n v="435.76"/>
    <n v="427.7"/>
    <n v="0.66536458333333337"/>
    <n v="0.98150357995226734"/>
    <n v="0.85275929549902152"/>
    <n v="0.55690104166666676"/>
  </r>
  <r>
    <x v="47"/>
    <x v="3"/>
    <n v="1744"/>
    <n v="22"/>
    <n v="19"/>
    <n v="132"/>
    <n v="30"/>
    <n v="18"/>
    <n v="34"/>
    <n v="8"/>
    <m/>
    <n v="26"/>
    <m/>
    <n v="16"/>
    <n v="150"/>
    <n v="960"/>
    <n v="768"/>
    <n v="546"/>
    <n v="453.44"/>
    <n v="442.78000000000003"/>
    <n v="0.7109375"/>
    <n v="0.97649082568807344"/>
    <n v="0.83047619047619048"/>
    <n v="0.57653645833333345"/>
  </r>
  <r>
    <x v="48"/>
    <x v="3"/>
    <n v="1702"/>
    <n v="29"/>
    <n v="31"/>
    <n v="165"/>
    <n v="41"/>
    <n v="15"/>
    <n v="26"/>
    <n v="10"/>
    <m/>
    <n v="36"/>
    <m/>
    <n v="17"/>
    <n v="150"/>
    <n v="960"/>
    <n v="768"/>
    <n v="500"/>
    <n v="442.52000000000004"/>
    <n v="426.92"/>
    <n v="0.65104166666666663"/>
    <n v="0.96474735605170392"/>
    <n v="0.88504000000000005"/>
    <n v="0.55588541666666669"/>
  </r>
  <r>
    <x v="49"/>
    <x v="4"/>
    <n v="1594"/>
    <n v="10"/>
    <n v="46"/>
    <n v="168"/>
    <n v="23"/>
    <n v="16"/>
    <n v="44"/>
    <n v="10"/>
    <n v="34"/>
    <n v="33"/>
    <m/>
    <n v="19"/>
    <n v="150"/>
    <n v="960"/>
    <n v="765"/>
    <n v="463"/>
    <n v="414.44"/>
    <n v="399.88"/>
    <n v="0.6052287581699346"/>
    <n v="0.96486825595984949"/>
    <n v="0.89511879049676024"/>
    <n v="0.52271895424836601"/>
  </r>
  <r>
    <x v="50"/>
    <x v="2"/>
    <n v="1643"/>
    <n v="25"/>
    <n v="19"/>
    <n v="119"/>
    <n v="34"/>
    <n v="20"/>
    <n v="45"/>
    <n v="7"/>
    <n v="20"/>
    <n v="28"/>
    <n v="20"/>
    <n v="19"/>
    <n v="150"/>
    <n v="960"/>
    <n v="744"/>
    <n v="498"/>
    <n v="427.18"/>
    <n v="415.74"/>
    <n v="0.66935483870967738"/>
    <n v="0.97321972002434576"/>
    <n v="0.85779116465863459"/>
    <n v="0.5587903225806452"/>
  </r>
  <r>
    <x v="51"/>
    <x v="3"/>
    <n v="1670"/>
    <n v="16"/>
    <n v="39"/>
    <n v="136"/>
    <n v="34"/>
    <n v="15"/>
    <n v="38"/>
    <n v="11"/>
    <n v="27"/>
    <n v="33"/>
    <m/>
    <n v="14"/>
    <n v="150"/>
    <n v="960"/>
    <n v="770"/>
    <n v="502"/>
    <n v="434.2"/>
    <n v="419.90000000000003"/>
    <n v="0.65194805194805194"/>
    <n v="0.96706586826347307"/>
    <n v="0.86494023904382467"/>
    <n v="0.54532467532467532"/>
  </r>
  <r>
    <x v="52"/>
    <x v="1"/>
    <n v="1774"/>
    <n v="26"/>
    <n v="28"/>
    <n v="143"/>
    <n v="23"/>
    <n v="17"/>
    <n v="40"/>
    <n v="8"/>
    <n v="38"/>
    <n v="34"/>
    <m/>
    <n v="14"/>
    <n v="150"/>
    <n v="960"/>
    <n v="771"/>
    <n v="493"/>
    <n v="461.24"/>
    <n v="447.2"/>
    <n v="0.6394293125810635"/>
    <n v="0.96956031567080048"/>
    <n v="0.93557809330628805"/>
    <n v="0.58002594033722443"/>
  </r>
  <r>
    <x v="53"/>
    <x v="2"/>
    <n v="1548"/>
    <n v="24"/>
    <n v="39"/>
    <n v="143"/>
    <n v="43"/>
    <n v="20"/>
    <n v="31"/>
    <n v="10"/>
    <n v="27"/>
    <n v="28"/>
    <m/>
    <n v="17"/>
    <n v="150"/>
    <n v="960"/>
    <n v="763"/>
    <n v="491"/>
    <n v="402.48"/>
    <n v="386.1"/>
    <n v="0.64351245085190034"/>
    <n v="0.95930232558139539"/>
    <n v="0.81971486761710799"/>
    <n v="0.50602883355176931"/>
  </r>
  <r>
    <x v="54"/>
    <x v="3"/>
    <n v="1607"/>
    <n v="24"/>
    <n v="19"/>
    <n v="156"/>
    <n v="33"/>
    <n v="16"/>
    <n v="37"/>
    <n v="10"/>
    <n v="35"/>
    <n v="33"/>
    <m/>
    <n v="13"/>
    <n v="150"/>
    <n v="960"/>
    <n v="771"/>
    <n v="477"/>
    <n v="417.82"/>
    <n v="406.64"/>
    <n v="0.61867704280155644"/>
    <n v="0.97324206596141882"/>
    <n v="0.87593291404612161"/>
    <n v="0.52741893644617377"/>
  </r>
  <r>
    <x v="55"/>
    <x v="4"/>
    <n v="1610"/>
    <n v="11"/>
    <n v="37"/>
    <n v="160"/>
    <n v="35"/>
    <n v="19"/>
    <n v="43"/>
    <n v="7"/>
    <n v="29"/>
    <n v="34"/>
    <m/>
    <n v="12"/>
    <n v="150"/>
    <n v="960"/>
    <n v="772"/>
    <n v="471"/>
    <n v="418.6"/>
    <n v="406.12"/>
    <n v="0.61010362694300513"/>
    <n v="0.97018633540372667"/>
    <n v="0.88874734607218686"/>
    <n v="0.52606217616580309"/>
  </r>
  <r>
    <x v="56"/>
    <x v="4"/>
    <n v="1579"/>
    <n v="22"/>
    <n v="48"/>
    <n v="167"/>
    <n v="31"/>
    <n v="15"/>
    <n v="48"/>
    <n v="8"/>
    <m/>
    <n v="31"/>
    <m/>
    <n v="18"/>
    <n v="150"/>
    <n v="960"/>
    <n v="769"/>
    <n v="492"/>
    <n v="410.54"/>
    <n v="392.34000000000003"/>
    <n v="0.63979193758127439"/>
    <n v="0.95566814439518688"/>
    <n v="0.83443089430894313"/>
    <n v="0.51019505851755531"/>
  </r>
  <r>
    <x v="57"/>
    <x v="4"/>
    <n v="1596"/>
    <n v="15"/>
    <n v="8"/>
    <n v="150"/>
    <n v="37"/>
    <n v="19"/>
    <n v="39"/>
    <n v="9"/>
    <m/>
    <n v="30"/>
    <m/>
    <n v="13"/>
    <n v="150"/>
    <n v="960"/>
    <n v="769"/>
    <n v="513"/>
    <n v="414.96000000000004"/>
    <n v="408.98"/>
    <n v="0.6671001300390117"/>
    <n v="0.98558897243107768"/>
    <n v="0.80888888888888899"/>
    <n v="0.53183355006501953"/>
  </r>
  <r>
    <x v="58"/>
    <x v="3"/>
    <n v="1596"/>
    <n v="23"/>
    <n v="39"/>
    <n v="155"/>
    <n v="29"/>
    <n v="19"/>
    <n v="30"/>
    <n v="8"/>
    <n v="31"/>
    <n v="30"/>
    <m/>
    <n v="14"/>
    <n v="150"/>
    <n v="960"/>
    <n v="769"/>
    <n v="494"/>
    <n v="414.96000000000004"/>
    <n v="398.84000000000003"/>
    <n v="0.64239271781534457"/>
    <n v="0.96115288220551376"/>
    <n v="0.84000000000000008"/>
    <n v="0.51864759427828355"/>
  </r>
  <r>
    <x v="59"/>
    <x v="3"/>
    <n v="1626"/>
    <n v="22"/>
    <n v="45"/>
    <n v="175"/>
    <n v="26"/>
    <n v="18"/>
    <n v="47"/>
    <n v="12"/>
    <m/>
    <n v="33"/>
    <m/>
    <n v="18"/>
    <n v="150"/>
    <n v="960"/>
    <n v="762"/>
    <n v="481"/>
    <n v="422.76"/>
    <n v="405.34000000000003"/>
    <n v="0.63123359580052496"/>
    <n v="0.95879458794587946"/>
    <n v="0.87891891891891893"/>
    <n v="0.53194225721784782"/>
  </r>
  <r>
    <x v="60"/>
    <x v="4"/>
    <n v="1567"/>
    <n v="15"/>
    <n v="46"/>
    <n v="155"/>
    <n v="34"/>
    <n v="16"/>
    <n v="29"/>
    <n v="9"/>
    <n v="26"/>
    <n v="27"/>
    <n v="40"/>
    <n v="18"/>
    <n v="150"/>
    <n v="960"/>
    <n v="727"/>
    <n v="456"/>
    <n v="407.42"/>
    <n v="391.56"/>
    <n v="0.6272352132049519"/>
    <n v="0.96107211231652845"/>
    <n v="0.8934649122807018"/>
    <n v="0.53859697386519956"/>
  </r>
  <r>
    <x v="61"/>
    <x v="2"/>
    <n v="1702"/>
    <n v="19"/>
    <n v="38"/>
    <n v="147"/>
    <n v="38"/>
    <n v="16"/>
    <n v="23"/>
    <n v="5"/>
    <n v="16"/>
    <n v="30"/>
    <m/>
    <n v="14"/>
    <n v="150"/>
    <n v="960"/>
    <n v="775"/>
    <n v="521"/>
    <n v="442.52000000000004"/>
    <n v="427.7"/>
    <n v="0.67225806451612902"/>
    <n v="0.96650998824911871"/>
    <n v="0.84936660268714015"/>
    <n v="0.55187096774193556"/>
  </r>
  <r>
    <x v="62"/>
    <x v="3"/>
    <n v="1590"/>
    <n v="10"/>
    <n v="26"/>
    <n v="148"/>
    <n v="38"/>
    <n v="15"/>
    <n v="35"/>
    <n v="7"/>
    <n v="16"/>
    <n v="34"/>
    <m/>
    <n v="16"/>
    <n v="150"/>
    <n v="960"/>
    <n v="772"/>
    <n v="501"/>
    <n v="413.40000000000003"/>
    <n v="404.04"/>
    <n v="0.64896373056994816"/>
    <n v="0.97735849056603774"/>
    <n v="0.82514970059880244"/>
    <n v="0.5233678756476684"/>
  </r>
  <r>
    <x v="63"/>
    <x v="3"/>
    <n v="1588"/>
    <n v="18"/>
    <n v="10"/>
    <n v="136"/>
    <n v="38"/>
    <n v="20"/>
    <n v="28"/>
    <n v="8"/>
    <m/>
    <n v="36"/>
    <m/>
    <n v="17"/>
    <n v="150"/>
    <n v="960"/>
    <n v="765"/>
    <n v="527"/>
    <n v="412.88"/>
    <n v="405.6"/>
    <n v="0.68888888888888888"/>
    <n v="0.98236775818639799"/>
    <n v="0.78345351043643263"/>
    <n v="0.53019607843137251"/>
  </r>
  <r>
    <x v="64"/>
    <x v="4"/>
    <n v="1651"/>
    <n v="15"/>
    <n v="40"/>
    <n v="131"/>
    <n v="33"/>
    <n v="20"/>
    <n v="35"/>
    <n v="8"/>
    <n v="18"/>
    <n v="33"/>
    <m/>
    <n v="14"/>
    <n v="150"/>
    <n v="960"/>
    <n v="768"/>
    <n v="518"/>
    <n v="429.26"/>
    <n v="414.96000000000004"/>
    <n v="0.67447916666666663"/>
    <n v="0.96668685645063601"/>
    <n v="0.82868725868725868"/>
    <n v="0.54031249999999997"/>
  </r>
  <r>
    <x v="65"/>
    <x v="2"/>
    <n v="1728"/>
    <n v="16"/>
    <n v="45"/>
    <n v="140"/>
    <n v="34"/>
    <n v="15"/>
    <n v="44"/>
    <n v="12"/>
    <n v="34"/>
    <n v="35"/>
    <m/>
    <n v="18"/>
    <n v="150"/>
    <n v="960"/>
    <n v="765"/>
    <n v="478"/>
    <n v="449.28000000000003"/>
    <n v="433.42"/>
    <n v="0.62483660130718954"/>
    <n v="0.96469907407407407"/>
    <n v="0.93991631799163189"/>
    <n v="0.56656209150326797"/>
  </r>
  <r>
    <x v="66"/>
    <x v="3"/>
    <n v="1615"/>
    <n v="27"/>
    <n v="13"/>
    <n v="148"/>
    <n v="28"/>
    <n v="15"/>
    <n v="41"/>
    <n v="7"/>
    <n v="18"/>
    <n v="27"/>
    <m/>
    <n v="17"/>
    <n v="150"/>
    <n v="960"/>
    <n v="771"/>
    <n v="509"/>
    <n v="419.90000000000003"/>
    <n v="409.5"/>
    <n v="0.66018158236057067"/>
    <n v="0.97523219814241491"/>
    <n v="0.82495088408644413"/>
    <n v="0.5311284046692607"/>
  </r>
  <r>
    <x v="67"/>
    <x v="1"/>
    <n v="1551"/>
    <n v="30"/>
    <n v="6"/>
    <n v="163"/>
    <n v="44"/>
    <n v="19"/>
    <n v="29"/>
    <n v="9"/>
    <n v="35"/>
    <n v="32"/>
    <m/>
    <n v="13"/>
    <n v="150"/>
    <n v="960"/>
    <n v="769"/>
    <n v="466"/>
    <n v="403.26"/>
    <n v="393.90000000000003"/>
    <n v="0.60598179453836154"/>
    <n v="0.97678916827853002"/>
    <n v="0.86536480686695272"/>
    <n v="0.51222366710013012"/>
  </r>
  <r>
    <x v="68"/>
    <x v="4"/>
    <n v="1505"/>
    <n v="23"/>
    <n v="41"/>
    <n v="151"/>
    <n v="40"/>
    <n v="17"/>
    <n v="34"/>
    <n v="12"/>
    <n v="29"/>
    <n v="27"/>
    <m/>
    <n v="13"/>
    <n v="150"/>
    <n v="960"/>
    <n v="768"/>
    <n v="487"/>
    <n v="391.3"/>
    <n v="374.66"/>
    <n v="0.63411458333333337"/>
    <n v="0.95747508305647844"/>
    <n v="0.80349075975359341"/>
    <n v="0.48783854166666668"/>
  </r>
  <r>
    <x v="69"/>
    <x v="4"/>
    <n v="1713"/>
    <n v="12"/>
    <n v="17"/>
    <n v="139"/>
    <n v="37"/>
    <n v="18"/>
    <n v="51"/>
    <n v="7"/>
    <m/>
    <n v="34"/>
    <m/>
    <n v="14"/>
    <n v="150"/>
    <n v="960"/>
    <n v="771"/>
    <n v="510"/>
    <n v="445.38"/>
    <n v="437.84000000000003"/>
    <n v="0.66147859922178986"/>
    <n v="0.98307063631056624"/>
    <n v="0.87329411764705878"/>
    <n v="0.56788586251621265"/>
  </r>
  <r>
    <x v="70"/>
    <x v="3"/>
    <n v="1732"/>
    <n v="29"/>
    <n v="31"/>
    <n v="126"/>
    <n v="48"/>
    <n v="19"/>
    <n v="37"/>
    <n v="10"/>
    <n v="17"/>
    <n v="32"/>
    <n v="50"/>
    <n v="19"/>
    <n v="150"/>
    <n v="960"/>
    <n v="712"/>
    <n v="452"/>
    <n v="450.32"/>
    <n v="434.72"/>
    <n v="0.6348314606741573"/>
    <n v="0.96535796766743653"/>
    <n v="0.99628318584070796"/>
    <n v="0.61056179775280905"/>
  </r>
  <r>
    <x v="71"/>
    <x v="3"/>
    <n v="1631"/>
    <n v="17"/>
    <n v="34"/>
    <n v="162"/>
    <n v="36"/>
    <n v="17"/>
    <n v="33"/>
    <n v="7"/>
    <m/>
    <n v="32"/>
    <m/>
    <n v="15"/>
    <n v="150"/>
    <n v="960"/>
    <n v="771"/>
    <n v="508"/>
    <n v="424.06"/>
    <n v="410.8"/>
    <n v="0.65888456549935148"/>
    <n v="0.96873083997547516"/>
    <n v="0.83476377952755909"/>
    <n v="0.53281452658884565"/>
  </r>
  <r>
    <x v="72"/>
    <x v="4"/>
    <n v="1635"/>
    <n v="21"/>
    <n v="7"/>
    <n v="165"/>
    <n v="27"/>
    <n v="16"/>
    <n v="33"/>
    <n v="10"/>
    <n v="40"/>
    <n v="27"/>
    <m/>
    <n v="15"/>
    <n v="150"/>
    <n v="960"/>
    <n v="769"/>
    <n v="477"/>
    <n v="425.1"/>
    <n v="417.82"/>
    <n v="0.62028608582574774"/>
    <n v="0.98287461773700302"/>
    <n v="0.89119496855345914"/>
    <n v="0.54332899869960993"/>
  </r>
  <r>
    <x v="73"/>
    <x v="1"/>
    <n v="1599"/>
    <n v="17"/>
    <n v="23"/>
    <n v="133"/>
    <n v="44"/>
    <n v="17"/>
    <n v="40"/>
    <n v="9"/>
    <n v="18"/>
    <n v="33"/>
    <m/>
    <n v="16"/>
    <n v="150"/>
    <n v="960"/>
    <n v="768"/>
    <n v="500"/>
    <n v="415.74"/>
    <n v="405.34000000000003"/>
    <n v="0.65104166666666663"/>
    <n v="0.9749843652282677"/>
    <n v="0.83148"/>
    <n v="0.52778645833333326"/>
  </r>
  <r>
    <x v="74"/>
    <x v="3"/>
    <n v="1635"/>
    <n v="23"/>
    <n v="10"/>
    <n v="148"/>
    <n v="26"/>
    <n v="15"/>
    <n v="33"/>
    <n v="11"/>
    <n v="16"/>
    <n v="26"/>
    <m/>
    <n v="15"/>
    <n v="150"/>
    <n v="960"/>
    <n v="769"/>
    <n v="520"/>
    <n v="425.1"/>
    <n v="416.52000000000004"/>
    <n v="0.67620286085825743"/>
    <n v="0.97981651376146794"/>
    <n v="0.8175"/>
    <n v="0.54163849154746424"/>
  </r>
  <r>
    <x v="75"/>
    <x v="3"/>
    <n v="1528"/>
    <n v="29"/>
    <n v="28"/>
    <n v="162"/>
    <n v="32"/>
    <n v="19"/>
    <n v="25"/>
    <n v="12"/>
    <m/>
    <n v="35"/>
    <m/>
    <n v="13"/>
    <n v="150"/>
    <n v="960"/>
    <n v="766"/>
    <n v="512"/>
    <n v="397.28000000000003"/>
    <n v="382.46000000000004"/>
    <n v="0.66840731070496084"/>
    <n v="0.96269633507853403"/>
    <n v="0.77593750000000006"/>
    <n v="0.49929503916449092"/>
  </r>
  <r>
    <x v="76"/>
    <x v="4"/>
    <n v="1564"/>
    <n v="11"/>
    <n v="17"/>
    <n v="132"/>
    <n v="30"/>
    <n v="19"/>
    <n v="56"/>
    <n v="10"/>
    <n v="18"/>
    <n v="30"/>
    <m/>
    <n v="15"/>
    <n v="150"/>
    <n v="960"/>
    <n v="766"/>
    <n v="500"/>
    <n v="406.64"/>
    <n v="399.36"/>
    <n v="0.65274151436031336"/>
    <n v="0.98209718670076729"/>
    <n v="0.81328"/>
    <n v="0.52135770234986956"/>
  </r>
  <r>
    <x v="77"/>
    <x v="1"/>
    <n v="1552"/>
    <n v="23"/>
    <n v="15"/>
    <n v="151"/>
    <n v="32"/>
    <n v="16"/>
    <n v="55"/>
    <n v="9"/>
    <n v="25"/>
    <n v="25"/>
    <m/>
    <n v="17"/>
    <n v="150"/>
    <n v="960"/>
    <n v="768"/>
    <n v="480"/>
    <n v="403.52000000000004"/>
    <n v="393.64"/>
    <n v="0.625"/>
    <n v="0.97551546391752575"/>
    <n v="0.84066666666666678"/>
    <n v="0.51255208333333335"/>
  </r>
  <r>
    <x v="78"/>
    <x v="2"/>
    <n v="1446"/>
    <n v="15"/>
    <n v="11"/>
    <n v="193"/>
    <n v="28"/>
    <n v="19"/>
    <n v="59"/>
    <n v="11"/>
    <n v="22"/>
    <n v="29"/>
    <m/>
    <n v="14"/>
    <n v="150"/>
    <n v="960"/>
    <n v="766"/>
    <n v="435"/>
    <n v="375.96000000000004"/>
    <n v="369.2"/>
    <n v="0.56788511749347259"/>
    <n v="0.9820193637621023"/>
    <n v="0.86427586206896556"/>
    <n v="0.48198433420365533"/>
  </r>
  <r>
    <x v="79"/>
    <x v="3"/>
    <n v="1505"/>
    <n v="27"/>
    <n v="35"/>
    <n v="158"/>
    <n v="50"/>
    <n v="18"/>
    <n v="44"/>
    <n v="11"/>
    <n v="26"/>
    <n v="33"/>
    <m/>
    <n v="14"/>
    <n v="150"/>
    <n v="960"/>
    <n v="767"/>
    <n v="456"/>
    <n v="391.3"/>
    <n v="375.18"/>
    <n v="0.59452411994784871"/>
    <n v="0.95880398671096345"/>
    <n v="0.85811403508771933"/>
    <n v="0.48915254237288136"/>
  </r>
  <r>
    <x v="80"/>
    <x v="3"/>
    <n v="1534"/>
    <n v="24"/>
    <n v="11"/>
    <n v="148"/>
    <n v="43"/>
    <n v="18"/>
    <n v="31"/>
    <n v="9"/>
    <m/>
    <n v="33"/>
    <n v="50"/>
    <n v="18"/>
    <n v="150"/>
    <n v="960"/>
    <n v="715"/>
    <n v="460"/>
    <n v="398.84000000000003"/>
    <n v="389.74"/>
    <n v="0.64335664335664333"/>
    <n v="0.97718383311603652"/>
    <n v="0.86704347826086958"/>
    <n v="0.54509090909090907"/>
  </r>
  <r>
    <x v="81"/>
    <x v="3"/>
    <n v="1655"/>
    <n v="26"/>
    <n v="43"/>
    <n v="186"/>
    <n v="42"/>
    <n v="19"/>
    <n v="26"/>
    <n v="5"/>
    <m/>
    <n v="32"/>
    <m/>
    <n v="17"/>
    <n v="150"/>
    <n v="960"/>
    <n v="769"/>
    <n v="483"/>
    <n v="430.3"/>
    <n v="412.36"/>
    <n v="0.62808842652795838"/>
    <n v="0.95830815709969785"/>
    <n v="0.89089026915113878"/>
    <n v="0.53622886866059827"/>
  </r>
  <r>
    <x v="82"/>
    <x v="4"/>
    <n v="1573"/>
    <n v="30"/>
    <n v="31"/>
    <n v="152"/>
    <n v="39"/>
    <n v="20"/>
    <n v="51"/>
    <n v="6"/>
    <n v="39"/>
    <n v="35"/>
    <m/>
    <n v="15"/>
    <n v="150"/>
    <n v="960"/>
    <n v="769"/>
    <n v="453"/>
    <n v="408.98"/>
    <n v="393.12"/>
    <n v="0.58907672301690506"/>
    <n v="0.96122059758423395"/>
    <n v="0.90282560706401771"/>
    <n v="0.51120936280884266"/>
  </r>
  <r>
    <x v="83"/>
    <x v="2"/>
    <n v="1619"/>
    <n v="12"/>
    <n v="42"/>
    <n v="160"/>
    <n v="43"/>
    <n v="17"/>
    <n v="31"/>
    <n v="7"/>
    <n v="17"/>
    <n v="35"/>
    <m/>
    <n v="15"/>
    <n v="150"/>
    <n v="960"/>
    <n v="771"/>
    <n v="485"/>
    <n v="420.94"/>
    <n v="406.90000000000003"/>
    <n v="0.62905317769130997"/>
    <n v="0.96664607782581846"/>
    <n v="0.86791752577319592"/>
    <n v="0.5277561608300908"/>
  </r>
  <r>
    <x v="84"/>
    <x v="3"/>
    <n v="1526"/>
    <n v="30"/>
    <n v="30"/>
    <n v="211"/>
    <n v="43"/>
    <n v="17"/>
    <n v="42"/>
    <n v="12"/>
    <n v="32"/>
    <n v="36"/>
    <m/>
    <n v="19"/>
    <n v="150"/>
    <n v="960"/>
    <n v="762"/>
    <n v="398"/>
    <n v="396.76"/>
    <n v="381.16"/>
    <n v="0.52230971128608927"/>
    <n v="0.96068152031454779"/>
    <n v="0.99688442211055273"/>
    <n v="0.50020997375328091"/>
  </r>
  <r>
    <x v="85"/>
    <x v="1"/>
    <n v="1506"/>
    <n v="14"/>
    <n v="9"/>
    <n v="180"/>
    <n v="36"/>
    <n v="18"/>
    <n v="32"/>
    <n v="6"/>
    <n v="28"/>
    <n v="30"/>
    <m/>
    <n v="14"/>
    <n v="150"/>
    <n v="960"/>
    <n v="772"/>
    <n v="466"/>
    <n v="391.56"/>
    <n v="385.58000000000004"/>
    <n v="0.60362694300518138"/>
    <n v="0.98472775564409032"/>
    <n v="0.84025751072961374"/>
    <n v="0.49945595854922281"/>
  </r>
  <r>
    <x v="86"/>
    <x v="4"/>
    <n v="1564"/>
    <n v="16"/>
    <n v="33"/>
    <n v="173"/>
    <n v="48"/>
    <n v="19"/>
    <n v="27"/>
    <n v="9"/>
    <n v="29"/>
    <n v="31"/>
    <m/>
    <n v="16"/>
    <n v="150"/>
    <n v="960"/>
    <n v="766"/>
    <n v="458"/>
    <n v="406.64"/>
    <n v="393.90000000000003"/>
    <n v="0.59791122715404699"/>
    <n v="0.96867007672634275"/>
    <n v="0.88786026200873358"/>
    <n v="0.51422976501305473"/>
  </r>
  <r>
    <x v="87"/>
    <x v="3"/>
    <n v="1586"/>
    <n v="20"/>
    <n v="45"/>
    <n v="148"/>
    <n v="45"/>
    <n v="16"/>
    <n v="62"/>
    <n v="8"/>
    <n v="15"/>
    <n v="33"/>
    <m/>
    <n v="14"/>
    <n v="150"/>
    <n v="960"/>
    <n v="772"/>
    <n v="469"/>
    <n v="412.36"/>
    <n v="395.46000000000004"/>
    <n v="0.6075129533678757"/>
    <n v="0.95901639344262291"/>
    <n v="0.87923240938166314"/>
    <n v="0.5122538860103627"/>
  </r>
  <r>
    <x v="88"/>
    <x v="3"/>
    <n v="1620"/>
    <n v="25"/>
    <n v="44"/>
    <n v="165"/>
    <n v="36"/>
    <n v="15"/>
    <n v="38"/>
    <n v="7"/>
    <m/>
    <n v="36"/>
    <m/>
    <n v="13"/>
    <n v="150"/>
    <n v="960"/>
    <n v="775"/>
    <n v="500"/>
    <n v="421.2"/>
    <n v="403.26"/>
    <n v="0.64516129032258063"/>
    <n v="0.95740740740740737"/>
    <n v="0.84239999999999993"/>
    <n v="0.52033548387096773"/>
  </r>
  <r>
    <x v="89"/>
    <x v="4"/>
    <n v="1451"/>
    <n v="30"/>
    <n v="44"/>
    <n v="171"/>
    <n v="46"/>
    <n v="19"/>
    <n v="58"/>
    <n v="6"/>
    <n v="32"/>
    <n v="36"/>
    <m/>
    <n v="17"/>
    <n v="150"/>
    <n v="960"/>
    <n v="768"/>
    <n v="425"/>
    <n v="377.26"/>
    <n v="358.02000000000004"/>
    <n v="0.55338541666666663"/>
    <n v="0.9490006891798759"/>
    <n v="0.8876705882352941"/>
    <n v="0.46617187499999996"/>
  </r>
  <r>
    <x v="90"/>
    <x v="4"/>
    <n v="1438"/>
    <n v="30"/>
    <n v="5"/>
    <n v="186"/>
    <n v="42"/>
    <n v="19"/>
    <n v="45"/>
    <n v="11"/>
    <m/>
    <n v="33"/>
    <n v="45"/>
    <n v="15"/>
    <n v="150"/>
    <n v="960"/>
    <n v="720"/>
    <n v="414"/>
    <n v="373.88"/>
    <n v="364.78000000000003"/>
    <n v="0.57499999999999996"/>
    <n v="0.97566063977746875"/>
    <n v="0.90309178743961349"/>
    <n v="0.50663888888888886"/>
  </r>
  <r>
    <x v="91"/>
    <x v="4"/>
    <n v="1615"/>
    <n v="18"/>
    <n v="29"/>
    <n v="191"/>
    <n v="46"/>
    <n v="18"/>
    <n v="30"/>
    <n v="7"/>
    <m/>
    <n v="31"/>
    <m/>
    <n v="16"/>
    <n v="150"/>
    <n v="960"/>
    <n v="769"/>
    <n v="471"/>
    <n v="419.90000000000003"/>
    <n v="407.68"/>
    <n v="0.61248374512353709"/>
    <n v="0.97089783281733744"/>
    <n v="0.89150743099787688"/>
    <n v="0.53014304291287395"/>
  </r>
  <r>
    <x v="92"/>
    <x v="3"/>
    <n v="1463"/>
    <n v="21"/>
    <n v="49"/>
    <n v="173"/>
    <n v="44"/>
    <n v="16"/>
    <n v="51"/>
    <n v="5"/>
    <n v="39"/>
    <n v="31"/>
    <m/>
    <n v="17"/>
    <n v="150"/>
    <n v="960"/>
    <n v="772"/>
    <n v="434"/>
    <n v="380.38"/>
    <n v="362.18"/>
    <n v="0.56217616580310881"/>
    <n v="0.95215311004784686"/>
    <n v="0.87645161290322582"/>
    <n v="0.46914507772020725"/>
  </r>
  <r>
    <x v="93"/>
    <x v="3"/>
    <n v="1591"/>
    <n v="13"/>
    <n v="18"/>
    <n v="145"/>
    <n v="44"/>
    <n v="15"/>
    <n v="34"/>
    <n v="9"/>
    <m/>
    <n v="33"/>
    <m/>
    <n v="19"/>
    <n v="150"/>
    <n v="960"/>
    <n v="767"/>
    <n v="511"/>
    <n v="413.66"/>
    <n v="405.6"/>
    <n v="0.66623207301173404"/>
    <n v="0.98051539912005026"/>
    <n v="0.80951076320939341"/>
    <n v="0.52881355932203389"/>
  </r>
  <r>
    <x v="94"/>
    <x v="4"/>
    <n v="1584"/>
    <n v="18"/>
    <n v="22"/>
    <n v="195"/>
    <n v="44"/>
    <n v="18"/>
    <n v="50"/>
    <n v="11"/>
    <n v="36"/>
    <n v="28"/>
    <m/>
    <n v="18"/>
    <n v="150"/>
    <n v="960"/>
    <n v="763"/>
    <n v="410"/>
    <n v="411.84000000000003"/>
    <n v="401.44"/>
    <n v="0.53735255570117957"/>
    <n v="0.9747474747474747"/>
    <n v="1.0044878048780488"/>
    <n v="0.52613368283093043"/>
  </r>
  <r>
    <x v="95"/>
    <x v="4"/>
    <n v="1477"/>
    <n v="30"/>
    <n v="30"/>
    <n v="199"/>
    <n v="36"/>
    <n v="19"/>
    <n v="56"/>
    <n v="11"/>
    <m/>
    <n v="30"/>
    <m/>
    <n v="16"/>
    <n v="150"/>
    <n v="960"/>
    <n v="764"/>
    <n v="443"/>
    <n v="384.02000000000004"/>
    <n v="368.42"/>
    <n v="0.57984293193717273"/>
    <n v="0.95937711577522"/>
    <n v="0.86686230248307006"/>
    <n v="0.48222513089005237"/>
  </r>
  <r>
    <x v="96"/>
    <x v="1"/>
    <n v="1498"/>
    <n v="28"/>
    <n v="41"/>
    <n v="182"/>
    <n v="37"/>
    <n v="20"/>
    <n v="35"/>
    <n v="6"/>
    <n v="17"/>
    <n v="32"/>
    <m/>
    <n v="16"/>
    <n v="150"/>
    <n v="960"/>
    <n v="768"/>
    <n v="465"/>
    <n v="389.48"/>
    <n v="371.54"/>
    <n v="0.60546875"/>
    <n v="0.95393858477970628"/>
    <n v="0.83759139784946246"/>
    <n v="0.48377604166666671"/>
  </r>
  <r>
    <x v="97"/>
    <x v="3"/>
    <n v="1432"/>
    <n v="18"/>
    <n v="13"/>
    <n v="203"/>
    <n v="40"/>
    <n v="18"/>
    <n v="57"/>
    <n v="9"/>
    <n v="19"/>
    <n v="37"/>
    <m/>
    <n v="18"/>
    <n v="150"/>
    <n v="960"/>
    <n v="765"/>
    <n v="409"/>
    <n v="372.32"/>
    <n v="364.26"/>
    <n v="0.53464052287581698"/>
    <n v="0.9783519553072626"/>
    <n v="0.91031784841075791"/>
    <n v="0.47615686274509805"/>
  </r>
  <r>
    <x v="98"/>
    <x v="3"/>
    <n v="1530"/>
    <n v="22"/>
    <n v="41"/>
    <n v="215"/>
    <n v="33"/>
    <n v="15"/>
    <n v="40"/>
    <n v="12"/>
    <m/>
    <n v="33"/>
    <m/>
    <n v="15"/>
    <n v="150"/>
    <n v="960"/>
    <n v="768"/>
    <n v="447"/>
    <n v="397.8"/>
    <n v="381.42"/>
    <n v="0.58203125"/>
    <n v="0.95882352941176474"/>
    <n v="0.88993288590604025"/>
    <n v="0.496640625"/>
  </r>
  <r>
    <x v="99"/>
    <x v="4"/>
    <n v="1437"/>
    <n v="16"/>
    <n v="23"/>
    <n v="205"/>
    <n v="34"/>
    <n v="18"/>
    <n v="64"/>
    <n v="6"/>
    <n v="28"/>
    <n v="30"/>
    <m/>
    <n v="18"/>
    <n v="150"/>
    <n v="960"/>
    <n v="768"/>
    <n v="407"/>
    <n v="373.62"/>
    <n v="363.48"/>
    <n v="0.52994791666666663"/>
    <n v="0.97286012526096033"/>
    <n v="0.91798525798525799"/>
    <n v="0.47328124999999993"/>
  </r>
  <r>
    <x v="100"/>
    <x v="1"/>
    <n v="1426"/>
    <n v="10"/>
    <n v="45"/>
    <n v="176"/>
    <n v="37"/>
    <n v="16"/>
    <n v="33"/>
    <n v="11"/>
    <n v="40"/>
    <n v="29"/>
    <n v="300"/>
    <n v="13"/>
    <n v="150"/>
    <n v="960"/>
    <n v="470"/>
    <n v="155"/>
    <n v="370.76"/>
    <n v="356.46000000000004"/>
    <n v="0.32978723404255317"/>
    <n v="0.96143057503506313"/>
    <n v="2.3919999999999999"/>
    <n v="0.75842553191489359"/>
  </r>
  <r>
    <x v="101"/>
    <x v="2"/>
    <n v="1474"/>
    <n v="23"/>
    <n v="17"/>
    <n v="178"/>
    <n v="53"/>
    <n v="20"/>
    <n v="20"/>
    <n v="11"/>
    <n v="32"/>
    <n v="36"/>
    <m/>
    <n v="20"/>
    <n v="150"/>
    <n v="960"/>
    <n v="759"/>
    <n v="440"/>
    <n v="383.24"/>
    <n v="372.84000000000003"/>
    <n v="0.57971014492753625"/>
    <n v="0.97286295793758482"/>
    <n v="0.871"/>
    <n v="0.49122529644268781"/>
  </r>
  <r>
    <x v="102"/>
    <x v="3"/>
    <n v="1584"/>
    <n v="14"/>
    <n v="23"/>
    <n v="202"/>
    <n v="34"/>
    <n v="18"/>
    <n v="14"/>
    <n v="10"/>
    <n v="22"/>
    <n v="34"/>
    <m/>
    <n v="16"/>
    <n v="150"/>
    <n v="960"/>
    <n v="766"/>
    <n v="460"/>
    <n v="411.84000000000003"/>
    <n v="402.22"/>
    <n v="0.60052219321148825"/>
    <n v="0.97664141414141414"/>
    <n v="0.89530434782608703"/>
    <n v="0.52509138381201048"/>
  </r>
  <r>
    <x v="103"/>
    <x v="3"/>
    <n v="1390"/>
    <n v="30"/>
    <n v="7"/>
    <n v="153"/>
    <n v="27"/>
    <n v="15"/>
    <n v="18"/>
    <n v="12"/>
    <m/>
    <n v="29"/>
    <m/>
    <n v="15"/>
    <n v="150"/>
    <n v="960"/>
    <n v="768"/>
    <n v="541"/>
    <n v="361.40000000000003"/>
    <n v="351.78000000000003"/>
    <n v="0.70442708333333337"/>
    <n v="0.97338129496402881"/>
    <n v="0.66802218114602596"/>
    <n v="0.45804687500000013"/>
  </r>
  <r>
    <x v="104"/>
    <x v="3"/>
    <n v="1569"/>
    <n v="11"/>
    <n v="26"/>
    <n v="179"/>
    <n v="46"/>
    <n v="20"/>
    <n v="16"/>
    <n v="8"/>
    <m/>
    <n v="31"/>
    <m/>
    <n v="13"/>
    <n v="150"/>
    <n v="960"/>
    <n v="769"/>
    <n v="497"/>
    <n v="407.94"/>
    <n v="398.32"/>
    <n v="0.64629388816644995"/>
    <n v="0.97641810070108348"/>
    <n v="0.8208048289738431"/>
    <n v="0.51797139141742521"/>
  </r>
  <r>
    <x v="105"/>
    <x v="4"/>
    <n v="1556"/>
    <n v="26"/>
    <n v="42"/>
    <n v="190"/>
    <n v="40"/>
    <n v="16"/>
    <n v="21"/>
    <n v="10"/>
    <n v="30"/>
    <n v="28"/>
    <m/>
    <n v="13"/>
    <n v="150"/>
    <n v="960"/>
    <n v="771"/>
    <n v="462"/>
    <n v="404.56"/>
    <n v="386.88"/>
    <n v="0.59922178988326846"/>
    <n v="0.95629820051413883"/>
    <n v="0.87567099567099571"/>
    <n v="0.50178988326848251"/>
  </r>
  <r>
    <x v="106"/>
    <x v="2"/>
    <n v="1598"/>
    <n v="20"/>
    <n v="39"/>
    <n v="198"/>
    <n v="44"/>
    <n v="20"/>
    <n v="17"/>
    <n v="12"/>
    <n v="40"/>
    <n v="29"/>
    <m/>
    <n v="12"/>
    <n v="150"/>
    <n v="960"/>
    <n v="766"/>
    <n v="438"/>
    <n v="415.48"/>
    <n v="400.14"/>
    <n v="0.57180156657963443"/>
    <n v="0.96307884856070092"/>
    <n v="0.94858447488584474"/>
    <n v="0.52237597911227152"/>
  </r>
  <r>
    <x v="107"/>
    <x v="3"/>
    <n v="1468"/>
    <n v="25"/>
    <n v="21"/>
    <n v="215"/>
    <n v="35"/>
    <n v="17"/>
    <n v="13"/>
    <n v="7"/>
    <n v="22"/>
    <n v="27"/>
    <m/>
    <n v="17"/>
    <n v="150"/>
    <n v="960"/>
    <n v="769"/>
    <n v="457"/>
    <n v="381.68"/>
    <n v="369.72"/>
    <n v="0.59427828348504552"/>
    <n v="0.96866485013623982"/>
    <n v="0.83518599562363238"/>
    <n v="0.48078023407022114"/>
  </r>
  <r>
    <x v="108"/>
    <x v="1"/>
    <n v="1414"/>
    <n v="14"/>
    <n v="13"/>
    <n v="178"/>
    <n v="38"/>
    <n v="16"/>
    <n v="18"/>
    <n v="9"/>
    <n v="39"/>
    <n v="26"/>
    <m/>
    <n v="15"/>
    <n v="150"/>
    <n v="960"/>
    <n v="770"/>
    <n v="471"/>
    <n v="367.64"/>
    <n v="360.62"/>
    <n v="0.61168831168831173"/>
    <n v="0.98090523338048086"/>
    <n v="0.78055201698513799"/>
    <n v="0.46833766233766233"/>
  </r>
  <r>
    <x v="109"/>
    <x v="4"/>
    <n v="1579"/>
    <n v="30"/>
    <n v="11"/>
    <n v="172"/>
    <n v="42"/>
    <n v="17"/>
    <n v="15"/>
    <n v="8"/>
    <n v="22"/>
    <n v="32"/>
    <m/>
    <n v="16"/>
    <n v="150"/>
    <n v="960"/>
    <n v="769"/>
    <n v="486"/>
    <n v="410.54"/>
    <n v="399.88"/>
    <n v="0.63198959687906375"/>
    <n v="0.97403419886003795"/>
    <n v="0.84473251028806584"/>
    <n v="0.52"/>
  </r>
  <r>
    <x v="110"/>
    <x v="4"/>
    <n v="1422"/>
    <n v="28"/>
    <n v="35"/>
    <n v="191"/>
    <n v="33"/>
    <n v="18"/>
    <n v="15"/>
    <n v="9"/>
    <m/>
    <n v="33"/>
    <n v="40"/>
    <n v="13"/>
    <n v="150"/>
    <n v="960"/>
    <n v="730"/>
    <n v="458"/>
    <n v="369.72"/>
    <n v="353.34000000000003"/>
    <n v="0.62739726027397258"/>
    <n v="0.95569620253164556"/>
    <n v="0.80724890829694329"/>
    <n v="0.48402739726027399"/>
  </r>
  <r>
    <x v="111"/>
    <x v="3"/>
    <n v="1536"/>
    <n v="27"/>
    <n v="23"/>
    <n v="188"/>
    <n v="44"/>
    <n v="15"/>
    <n v="16"/>
    <n v="8"/>
    <n v="29"/>
    <n v="29"/>
    <m/>
    <n v="12"/>
    <n v="150"/>
    <n v="960"/>
    <n v="775"/>
    <n v="469"/>
    <n v="399.36"/>
    <n v="386.36"/>
    <n v="0.60516129032258059"/>
    <n v="0.96744791666666663"/>
    <n v="0.8515138592750533"/>
    <n v="0.49852903225806439"/>
  </r>
  <r>
    <x v="112"/>
    <x v="3"/>
    <n v="1423"/>
    <n v="30"/>
    <n v="5"/>
    <n v="162"/>
    <n v="45"/>
    <n v="20"/>
    <n v="13"/>
    <n v="12"/>
    <m/>
    <n v="29"/>
    <m/>
    <n v="20"/>
    <n v="150"/>
    <n v="960"/>
    <n v="758"/>
    <n v="509"/>
    <n v="369.98"/>
    <n v="360.88"/>
    <n v="0.67150395778364114"/>
    <n v="0.97540407589599443"/>
    <n v="0.7268762278978389"/>
    <n v="0.47609498680738788"/>
  </r>
  <r>
    <x v="113"/>
    <x v="4"/>
    <n v="1428"/>
    <n v="18"/>
    <n v="19"/>
    <n v="196"/>
    <n v="42"/>
    <n v="17"/>
    <n v="21"/>
    <n v="13"/>
    <n v="31"/>
    <n v="32"/>
    <m/>
    <n v="14"/>
    <n v="150"/>
    <n v="960"/>
    <n v="766"/>
    <n v="444"/>
    <n v="371.28000000000003"/>
    <n v="361.66"/>
    <n v="0.57963446475195823"/>
    <n v="0.97408963585434172"/>
    <n v="0.83621621621621633"/>
    <n v="0.47214099216710187"/>
  </r>
  <r>
    <x v="114"/>
    <x v="1"/>
    <n v="1408"/>
    <n v="29"/>
    <n v="7"/>
    <n v="189"/>
    <n v="38"/>
    <n v="15"/>
    <n v="15"/>
    <n v="8"/>
    <n v="37"/>
    <n v="34"/>
    <m/>
    <n v="17"/>
    <n v="150"/>
    <n v="960"/>
    <n v="770"/>
    <n v="457"/>
    <n v="366.08000000000004"/>
    <n v="356.72"/>
    <n v="0.59350649350649354"/>
    <n v="0.97443181818181823"/>
    <n v="0.80105032822757116"/>
    <n v="0.46327272727272739"/>
  </r>
  <r>
    <x v="115"/>
    <x v="3"/>
    <n v="1434"/>
    <n v="13"/>
    <n v="13"/>
    <n v="205"/>
    <n v="41"/>
    <n v="16"/>
    <n v="15"/>
    <n v="7"/>
    <n v="32"/>
    <n v="36"/>
    <m/>
    <n v="17"/>
    <n v="150"/>
    <n v="960"/>
    <n v="770"/>
    <n v="441"/>
    <n v="372.84000000000003"/>
    <n v="366.08000000000004"/>
    <n v="0.57272727272727275"/>
    <n v="0.98186889818688983"/>
    <n v="0.84544217687074841"/>
    <n v="0.47542857142857153"/>
  </r>
  <r>
    <x v="116"/>
    <x v="2"/>
    <n v="1429"/>
    <n v="12"/>
    <n v="37"/>
    <n v="173"/>
    <n v="43"/>
    <n v="18"/>
    <n v="12"/>
    <n v="6"/>
    <n v="39"/>
    <n v="32"/>
    <m/>
    <n v="12"/>
    <n v="150"/>
    <n v="960"/>
    <n v="774"/>
    <n v="475"/>
    <n v="371.54"/>
    <n v="358.8"/>
    <n v="0.6136950904392765"/>
    <n v="0.9657102869139258"/>
    <n v="0.78218947368421055"/>
    <n v="0.4635658914728682"/>
  </r>
  <r>
    <x v="117"/>
    <x v="3"/>
    <n v="1415"/>
    <n v="20"/>
    <n v="20"/>
    <n v="223"/>
    <n v="41"/>
    <n v="18"/>
    <n v="13"/>
    <n v="8"/>
    <n v="15"/>
    <n v="31"/>
    <m/>
    <n v="16"/>
    <n v="150"/>
    <n v="960"/>
    <n v="768"/>
    <n v="445"/>
    <n v="367.90000000000003"/>
    <n v="357.5"/>
    <n v="0.57942708333333337"/>
    <n v="0.9717314487632509"/>
    <n v="0.82674157303370799"/>
    <n v="0.46549479166666674"/>
  </r>
  <r>
    <x v="118"/>
    <x v="4"/>
    <n v="1389"/>
    <n v="10"/>
    <n v="5"/>
    <n v="207"/>
    <n v="48"/>
    <n v="16"/>
    <n v="20"/>
    <n v="9"/>
    <n v="20"/>
    <n v="27"/>
    <m/>
    <n v="17"/>
    <n v="150"/>
    <n v="960"/>
    <n v="768"/>
    <n v="446"/>
    <n v="361.14"/>
    <n v="357.24"/>
    <n v="0.58072916666666663"/>
    <n v="0.98920086393088558"/>
    <n v="0.80973094170403581"/>
    <n v="0.46515624999999999"/>
  </r>
  <r>
    <x v="119"/>
    <x v="3"/>
    <n v="1350"/>
    <n v="23"/>
    <n v="37"/>
    <n v="195"/>
    <n v="50"/>
    <n v="18"/>
    <n v="16"/>
    <n v="13"/>
    <n v="37"/>
    <n v="33"/>
    <m/>
    <n v="18"/>
    <n v="150"/>
    <n v="960"/>
    <n v="761"/>
    <n v="430"/>
    <n v="351"/>
    <n v="335.40000000000003"/>
    <n v="0.56504599211563733"/>
    <n v="0.9555555555555556"/>
    <n v="0.81627906976744191"/>
    <n v="0.44073587385019714"/>
  </r>
  <r>
    <x v="120"/>
    <x v="4"/>
    <n v="1455"/>
    <n v="21"/>
    <n v="47"/>
    <n v="192"/>
    <n v="33"/>
    <n v="20"/>
    <n v="18"/>
    <n v="7"/>
    <n v="20"/>
    <n v="33"/>
    <n v="40"/>
    <n v="19"/>
    <n v="150"/>
    <n v="960"/>
    <n v="724"/>
    <n v="428"/>
    <n v="378.3"/>
    <n v="360.62"/>
    <n v="0.59116022099447518"/>
    <n v="0.95326460481099662"/>
    <n v="0.88387850467289719"/>
    <n v="0.49809392265193375"/>
  </r>
  <r>
    <x v="121"/>
    <x v="1"/>
    <n v="1449"/>
    <n v="28"/>
    <n v="35"/>
    <n v="225"/>
    <n v="54"/>
    <n v="19"/>
    <n v="13"/>
    <n v="10"/>
    <n v="37"/>
    <n v="34"/>
    <m/>
    <n v="13"/>
    <n v="150"/>
    <n v="960"/>
    <n v="768"/>
    <n v="405"/>
    <n v="376.74"/>
    <n v="360.36"/>
    <n v="0.52734375"/>
    <n v="0.95652173913043481"/>
    <n v="0.93022222222222228"/>
    <n v="0.46921875000000002"/>
  </r>
  <r>
    <x v="122"/>
    <x v="2"/>
    <n v="1560"/>
    <n v="13"/>
    <n v="47"/>
    <n v="226"/>
    <n v="55"/>
    <n v="16"/>
    <n v="23"/>
    <n v="11"/>
    <n v="33"/>
    <n v="34"/>
    <m/>
    <n v="15"/>
    <n v="150"/>
    <n v="960"/>
    <n v="768"/>
    <n v="397"/>
    <n v="405.6"/>
    <n v="390"/>
    <n v="0.51692708333333337"/>
    <n v="0.96153846153846156"/>
    <n v="1.021662468513854"/>
    <n v="0.50781250000000011"/>
  </r>
  <r>
    <x v="123"/>
    <x v="3"/>
    <n v="1479"/>
    <n v="22"/>
    <n v="38"/>
    <n v="198"/>
    <n v="41"/>
    <n v="16"/>
    <n v="20"/>
    <n v="11"/>
    <n v="23"/>
    <n v="27"/>
    <m/>
    <n v="20"/>
    <n v="150"/>
    <n v="960"/>
    <n v="763"/>
    <n v="454"/>
    <n v="384.54"/>
    <n v="368.94"/>
    <n v="0.59501965923984268"/>
    <n v="0.95943204868154153"/>
    <n v="0.84700440528634369"/>
    <n v="0.4835386631716907"/>
  </r>
  <r>
    <x v="124"/>
    <x v="4"/>
    <n v="1470"/>
    <n v="27"/>
    <n v="27"/>
    <n v="221"/>
    <n v="46"/>
    <n v="17"/>
    <n v="22"/>
    <n v="12"/>
    <n v="37"/>
    <n v="29"/>
    <m/>
    <n v="16"/>
    <n v="150"/>
    <n v="960"/>
    <n v="765"/>
    <n v="410"/>
    <n v="382.2"/>
    <n v="368.16"/>
    <n v="0.53594771241830064"/>
    <n v="0.96326530612244898"/>
    <n v="0.93219512195121945"/>
    <n v="0.4812549019607843"/>
  </r>
  <r>
    <x v="125"/>
    <x v="2"/>
    <n v="1288"/>
    <n v="28"/>
    <n v="23"/>
    <n v="155"/>
    <n v="44"/>
    <n v="18"/>
    <n v="19"/>
    <n v="7"/>
    <n v="36"/>
    <n v="34"/>
    <m/>
    <n v="15"/>
    <n v="150"/>
    <n v="960"/>
    <n v="770"/>
    <n v="482"/>
    <n v="334.88"/>
    <n v="321.62"/>
    <n v="0.62597402597402596"/>
    <n v="0.9604037267080745"/>
    <n v="0.69477178423236519"/>
    <n v="0.41768831168831172"/>
  </r>
  <r>
    <x v="126"/>
    <x v="3"/>
    <n v="1396"/>
    <n v="19"/>
    <n v="25"/>
    <n v="117"/>
    <n v="44"/>
    <n v="20"/>
    <n v="20"/>
    <n v="11"/>
    <n v="30"/>
    <n v="33"/>
    <m/>
    <n v="20"/>
    <n v="150"/>
    <n v="960"/>
    <n v="759"/>
    <n v="515"/>
    <n v="362.96000000000004"/>
    <n v="351.52000000000004"/>
    <n v="0.6785243741765481"/>
    <n v="0.96848137535816614"/>
    <n v="0.70477669902912632"/>
    <n v="0.46313570487483535"/>
  </r>
  <r>
    <x v="127"/>
    <x v="1"/>
    <n v="1346"/>
    <n v="14"/>
    <n v="41"/>
    <n v="157"/>
    <n v="32"/>
    <n v="20"/>
    <n v="15"/>
    <n v="7"/>
    <n v="17"/>
    <n v="33"/>
    <m/>
    <n v="12"/>
    <n v="150"/>
    <n v="960"/>
    <n v="771"/>
    <n v="517"/>
    <n v="349.96000000000004"/>
    <n v="335.66"/>
    <n v="0.6705577172503242"/>
    <n v="0.95913818722139677"/>
    <n v="0.67690522243713735"/>
    <n v="0.43535667963683528"/>
  </r>
  <r>
    <x v="128"/>
    <x v="2"/>
    <n v="1299"/>
    <n v="28"/>
    <n v="39"/>
    <n v="130"/>
    <n v="49"/>
    <n v="16"/>
    <n v="18"/>
    <n v="7"/>
    <n v="19"/>
    <n v="30"/>
    <m/>
    <n v="18"/>
    <n v="150"/>
    <n v="960"/>
    <n v="769"/>
    <n v="523"/>
    <n v="337.74"/>
    <n v="320.32"/>
    <n v="0.6801040312093628"/>
    <n v="0.94842186297151654"/>
    <n v="0.64577437858508602"/>
    <n v="0.41654096228868653"/>
  </r>
  <r>
    <x v="129"/>
    <x v="3"/>
    <n v="1359"/>
    <n v="11"/>
    <n v="45"/>
    <n v="141"/>
    <n v="45"/>
    <n v="18"/>
    <n v="22"/>
    <n v="7"/>
    <n v="23"/>
    <n v="27"/>
    <m/>
    <n v="14"/>
    <n v="150"/>
    <n v="960"/>
    <n v="771"/>
    <n v="513"/>
    <n v="353.34000000000003"/>
    <n v="338.78000000000003"/>
    <n v="0.66536964980544744"/>
    <n v="0.95879323031640917"/>
    <n v="0.68877192982456148"/>
    <n v="0.43940337224383919"/>
  </r>
  <r>
    <x v="130"/>
    <x v="3"/>
    <n v="1405"/>
    <n v="28"/>
    <n v="22"/>
    <n v="145"/>
    <n v="41"/>
    <n v="20"/>
    <n v="23"/>
    <n v="12"/>
    <m/>
    <n v="35"/>
    <n v="60"/>
    <n v="19"/>
    <n v="150"/>
    <n v="960"/>
    <n v="699"/>
    <n v="455"/>
    <n v="365.3"/>
    <n v="352.3"/>
    <n v="0.6509298998569385"/>
    <n v="0.96441281138790036"/>
    <n v="0.80285714285714294"/>
    <n v="0.50400572246065822"/>
  </r>
  <r>
    <x v="131"/>
    <x v="3"/>
    <n v="1397"/>
    <n v="28"/>
    <n v="18"/>
    <n v="148"/>
    <n v="43"/>
    <n v="20"/>
    <n v="23"/>
    <n v="10"/>
    <m/>
    <n v="33"/>
    <m/>
    <n v="18"/>
    <n v="150"/>
    <n v="960"/>
    <n v="762"/>
    <n v="515"/>
    <n v="363.22"/>
    <n v="351.26"/>
    <n v="0.6758530183727034"/>
    <n v="0.96707229778095916"/>
    <n v="0.70528155339805831"/>
    <n v="0.46097112860892392"/>
  </r>
  <r>
    <x v="132"/>
    <x v="4"/>
    <n v="1433"/>
    <n v="28"/>
    <n v="42"/>
    <n v="150"/>
    <n v="39"/>
    <n v="16"/>
    <n v="22"/>
    <n v="9"/>
    <n v="35"/>
    <n v="36"/>
    <m/>
    <n v="16"/>
    <n v="150"/>
    <n v="960"/>
    <n v="769"/>
    <n v="487"/>
    <n v="372.58000000000004"/>
    <n v="354.38"/>
    <n v="0.63328998699609884"/>
    <n v="0.95115143056524776"/>
    <n v="0.76505133470225883"/>
    <n v="0.46083224967490261"/>
  </r>
  <r>
    <x v="133"/>
    <x v="4"/>
    <n v="1504"/>
    <n v="23"/>
    <n v="31"/>
    <n v="137"/>
    <n v="46"/>
    <n v="20"/>
    <n v="16"/>
    <n v="8"/>
    <m/>
    <n v="31"/>
    <m/>
    <n v="16"/>
    <n v="150"/>
    <n v="960"/>
    <n v="766"/>
    <n v="536"/>
    <n v="391.04"/>
    <n v="377"/>
    <n v="0.69973890339425593"/>
    <n v="0.96409574468085102"/>
    <n v="0.7295522388059702"/>
    <n v="0.49216710182767631"/>
  </r>
  <r>
    <x v="134"/>
    <x v="2"/>
    <n v="1384"/>
    <n v="27"/>
    <n v="16"/>
    <n v="130"/>
    <n v="34"/>
    <n v="20"/>
    <n v="16"/>
    <n v="10"/>
    <n v="39"/>
    <n v="30"/>
    <m/>
    <n v="15"/>
    <n v="150"/>
    <n v="960"/>
    <n v="765"/>
    <n v="516"/>
    <n v="359.84000000000003"/>
    <n v="348.66"/>
    <n v="0.67450980392156867"/>
    <n v="0.96893063583815031"/>
    <n v="0.69736434108527134"/>
    <n v="0.45576470588235296"/>
  </r>
  <r>
    <x v="135"/>
    <x v="3"/>
    <n v="1358"/>
    <n v="20"/>
    <n v="9"/>
    <n v="134"/>
    <n v="49"/>
    <n v="19"/>
    <n v="19"/>
    <n v="11"/>
    <n v="23"/>
    <n v="30"/>
    <m/>
    <n v="16"/>
    <n v="150"/>
    <n v="960"/>
    <n v="764"/>
    <n v="509"/>
    <n v="353.08"/>
    <n v="345.54"/>
    <n v="0.66623036649214662"/>
    <n v="0.97864506627393222"/>
    <n v="0.6936738703339882"/>
    <n v="0.45227748691099473"/>
  </r>
  <r>
    <x v="136"/>
    <x v="1"/>
    <n v="1303"/>
    <n v="22"/>
    <n v="27"/>
    <n v="164"/>
    <n v="33"/>
    <n v="20"/>
    <n v="17"/>
    <n v="9"/>
    <n v="20"/>
    <n v="32"/>
    <m/>
    <n v="16"/>
    <n v="150"/>
    <n v="960"/>
    <n v="765"/>
    <n v="499"/>
    <n v="338.78000000000003"/>
    <n v="326.04000000000002"/>
    <n v="0.65228758169934642"/>
    <n v="0.96239447429009972"/>
    <n v="0.67891783567134278"/>
    <n v="0.42619607843137264"/>
  </r>
  <r>
    <x v="137"/>
    <x v="2"/>
    <n v="1307"/>
    <n v="14"/>
    <n v="31"/>
    <n v="114"/>
    <n v="44"/>
    <n v="20"/>
    <n v="14"/>
    <n v="10"/>
    <n v="30"/>
    <n v="34"/>
    <m/>
    <n v="19"/>
    <n v="150"/>
    <n v="960"/>
    <n v="761"/>
    <n v="525"/>
    <n v="339.82"/>
    <n v="328.12"/>
    <n v="0.68988173455978974"/>
    <n v="0.96557000765110945"/>
    <n v="0.64727619047619045"/>
    <n v="0.43116951379763468"/>
  </r>
  <r>
    <x v="138"/>
    <x v="3"/>
    <n v="1241"/>
    <n v="16"/>
    <n v="46"/>
    <n v="120"/>
    <n v="39"/>
    <n v="16"/>
    <n v="19"/>
    <n v="10"/>
    <n v="25"/>
    <n v="34"/>
    <m/>
    <n v="20"/>
    <n v="150"/>
    <n v="960"/>
    <n v="764"/>
    <n v="527"/>
    <n v="322.66000000000003"/>
    <n v="306.54000000000002"/>
    <n v="0.68979057591623039"/>
    <n v="0.95004029008863822"/>
    <n v="0.61225806451612907"/>
    <n v="0.40123036649214666"/>
  </r>
  <r>
    <x v="139"/>
    <x v="1"/>
    <n v="1183"/>
    <n v="14"/>
    <n v="20"/>
    <n v="112"/>
    <n v="48"/>
    <n v="18"/>
    <n v="22"/>
    <n v="8"/>
    <n v="20"/>
    <n v="29"/>
    <m/>
    <n v="12"/>
    <n v="150"/>
    <n v="960"/>
    <n v="772"/>
    <n v="541"/>
    <n v="307.58"/>
    <n v="298.74"/>
    <n v="0.70077720207253891"/>
    <n v="0.97125950972104813"/>
    <n v="0.56853974121996298"/>
    <n v="0.38696891191709842"/>
  </r>
  <r>
    <x v="140"/>
    <x v="3"/>
    <n v="1324"/>
    <n v="19"/>
    <n v="36"/>
    <n v="132"/>
    <n v="54"/>
    <n v="19"/>
    <n v="19"/>
    <n v="8"/>
    <n v="35"/>
    <n v="28"/>
    <n v="45"/>
    <n v="17"/>
    <n v="150"/>
    <n v="960"/>
    <n v="721"/>
    <n v="453"/>
    <n v="344.24"/>
    <n v="329.94"/>
    <n v="0.62829403606102641"/>
    <n v="0.95845921450151061"/>
    <n v="0.75991169977924944"/>
    <n v="0.45761442441054095"/>
  </r>
  <r>
    <x v="141"/>
    <x v="3"/>
    <n v="1318"/>
    <n v="23"/>
    <n v="21"/>
    <n v="128"/>
    <n v="34"/>
    <n v="15"/>
    <n v="16"/>
    <n v="13"/>
    <m/>
    <n v="37"/>
    <m/>
    <n v="14"/>
    <n v="150"/>
    <n v="960"/>
    <n v="768"/>
    <n v="553"/>
    <n v="342.68"/>
    <n v="331.24"/>
    <n v="0.72005208333333337"/>
    <n v="0.96661608497723828"/>
    <n v="0.61967450271247737"/>
    <n v="0.43130208333333331"/>
  </r>
  <r>
    <x v="142"/>
    <x v="4"/>
    <n v="1339"/>
    <n v="24"/>
    <n v="21"/>
    <n v="119"/>
    <n v="45"/>
    <n v="20"/>
    <n v="20"/>
    <n v="9"/>
    <n v="16"/>
    <n v="25"/>
    <m/>
    <n v="18"/>
    <n v="150"/>
    <n v="960"/>
    <n v="763"/>
    <n v="538"/>
    <n v="348.14"/>
    <n v="336.44"/>
    <n v="0.70511140235910874"/>
    <n v="0.9663928304705004"/>
    <n v="0.64710037174721191"/>
    <n v="0.4409436435124508"/>
  </r>
  <r>
    <x v="143"/>
    <x v="1"/>
    <n v="1399"/>
    <n v="21"/>
    <n v="24"/>
    <n v="142"/>
    <n v="52"/>
    <n v="16"/>
    <n v="21"/>
    <n v="7"/>
    <n v="39"/>
    <n v="31"/>
    <m/>
    <n v="13"/>
    <n v="150"/>
    <n v="960"/>
    <n v="774"/>
    <n v="489"/>
    <n v="363.74"/>
    <n v="352.04"/>
    <n v="0.63178294573643412"/>
    <n v="0.96783416726233018"/>
    <n v="0.74384458077709614"/>
    <n v="0.45483204134366922"/>
  </r>
  <r>
    <x v="144"/>
    <x v="2"/>
    <n v="1390"/>
    <n v="13"/>
    <n v="24"/>
    <n v="147"/>
    <n v="37"/>
    <n v="17"/>
    <n v="15"/>
    <n v="6"/>
    <n v="22"/>
    <n v="36"/>
    <m/>
    <n v="17"/>
    <n v="150"/>
    <n v="960"/>
    <n v="770"/>
    <n v="513"/>
    <n v="361.40000000000003"/>
    <n v="351.78000000000003"/>
    <n v="0.66623376623376629"/>
    <n v="0.97338129496402881"/>
    <n v="0.70448343079922038"/>
    <n v="0.45685714285714296"/>
  </r>
  <r>
    <x v="145"/>
    <x v="3"/>
    <n v="1366"/>
    <n v="20"/>
    <n v="41"/>
    <n v="168"/>
    <n v="33"/>
    <n v="20"/>
    <n v="23"/>
    <n v="8"/>
    <n v="25"/>
    <n v="36"/>
    <m/>
    <n v="18"/>
    <n v="150"/>
    <n v="960"/>
    <n v="764"/>
    <n v="479"/>
    <n v="355.16"/>
    <n v="339.3"/>
    <n v="0.62696335078534027"/>
    <n v="0.95534407027818447"/>
    <n v="0.74146137787056376"/>
    <n v="0.4441099476439791"/>
  </r>
  <r>
    <x v="146"/>
    <x v="4"/>
    <n v="1318"/>
    <n v="24"/>
    <n v="48"/>
    <n v="127"/>
    <n v="43"/>
    <n v="19"/>
    <n v="15"/>
    <n v="8"/>
    <n v="38"/>
    <n v="36"/>
    <m/>
    <n v="16"/>
    <n v="150"/>
    <n v="960"/>
    <n v="767"/>
    <n v="508"/>
    <n v="342.68"/>
    <n v="323.96000000000004"/>
    <n v="0.66232073011734027"/>
    <n v="0.94537177541729889"/>
    <n v="0.6745669291338583"/>
    <n v="0.42237288135593215"/>
  </r>
  <r>
    <x v="147"/>
    <x v="3"/>
    <n v="1342"/>
    <n v="17"/>
    <n v="38"/>
    <n v="144"/>
    <n v="39"/>
    <n v="16"/>
    <n v="23"/>
    <n v="9"/>
    <n v="37"/>
    <n v="25"/>
    <m/>
    <n v="16"/>
    <n v="150"/>
    <n v="960"/>
    <n v="769"/>
    <n v="501"/>
    <n v="348.92"/>
    <n v="334.62"/>
    <n v="0.65149544863459041"/>
    <n v="0.95901639344262291"/>
    <n v="0.69644710578842317"/>
    <n v="0.43513654096228865"/>
  </r>
  <r>
    <x v="148"/>
    <x v="4"/>
    <n v="1260"/>
    <n v="12"/>
    <n v="27"/>
    <n v="133"/>
    <n v="36"/>
    <n v="15"/>
    <n v="19"/>
    <n v="7"/>
    <n v="20"/>
    <n v="30"/>
    <m/>
    <n v="17"/>
    <n v="150"/>
    <n v="960"/>
    <n v="771"/>
    <n v="533"/>
    <n v="327.60000000000002"/>
    <n v="317.46000000000004"/>
    <n v="0.69130998702983137"/>
    <n v="0.96904761904761905"/>
    <n v="0.61463414634146341"/>
    <n v="0.41175097276264588"/>
  </r>
  <r>
    <x v="149"/>
    <x v="1"/>
    <n v="1283"/>
    <n v="15"/>
    <n v="50"/>
    <n v="135"/>
    <n v="42"/>
    <n v="19"/>
    <n v="18"/>
    <n v="9"/>
    <n v="28"/>
    <n v="28"/>
    <m/>
    <n v="14"/>
    <n v="150"/>
    <n v="960"/>
    <n v="768"/>
    <n v="517"/>
    <n v="333.58"/>
    <n v="316.68"/>
    <n v="0.67317708333333337"/>
    <n v="0.9493374902572097"/>
    <n v="0.64522243713733074"/>
    <n v="0.41234375000000006"/>
  </r>
  <r>
    <x v="150"/>
    <x v="2"/>
    <n v="1290"/>
    <n v="13"/>
    <n v="25"/>
    <n v="121"/>
    <n v="51"/>
    <n v="17"/>
    <n v="14"/>
    <n v="9"/>
    <n v="37"/>
    <n v="26"/>
    <n v="55"/>
    <n v="16"/>
    <n v="150"/>
    <n v="960"/>
    <n v="713"/>
    <n v="464"/>
    <n v="335.40000000000003"/>
    <n v="325.52000000000004"/>
    <n v="0.65077138849929872"/>
    <n v="0.97054263565891474"/>
    <n v="0.72284482758620694"/>
    <n v="0.45654978962131837"/>
  </r>
  <r>
    <x v="151"/>
    <x v="2"/>
    <n v="1325"/>
    <n v="19"/>
    <n v="41"/>
    <n v="148"/>
    <n v="47"/>
    <n v="20"/>
    <n v="18"/>
    <n v="7"/>
    <m/>
    <n v="26"/>
    <m/>
    <n v="15"/>
    <n v="150"/>
    <n v="960"/>
    <n v="768"/>
    <n v="529"/>
    <n v="344.5"/>
    <n v="328.90000000000003"/>
    <n v="0.68880208333333337"/>
    <n v="0.95471698113207548"/>
    <n v="0.65122873345935728"/>
    <n v="0.42825520833333336"/>
  </r>
  <r>
    <x v="152"/>
    <x v="3"/>
    <n v="1270"/>
    <n v="19"/>
    <n v="44"/>
    <n v="155"/>
    <n v="42"/>
    <n v="15"/>
    <n v="15"/>
    <n v="12"/>
    <n v="15"/>
    <n v="28"/>
    <m/>
    <n v="14"/>
    <n v="150"/>
    <n v="960"/>
    <n v="769"/>
    <n v="514"/>
    <n v="330.2"/>
    <n v="313.82"/>
    <n v="0.66840052015604678"/>
    <n v="0.9503937007874016"/>
    <n v="0.64241245136186764"/>
    <n v="0.40808842652795835"/>
  </r>
  <r>
    <x v="153"/>
    <x v="1"/>
    <n v="1287"/>
    <n v="11"/>
    <n v="33"/>
    <n v="160"/>
    <n v="41"/>
    <n v="19"/>
    <n v="15"/>
    <n v="12"/>
    <n v="15"/>
    <n v="32"/>
    <m/>
    <n v="19"/>
    <n v="150"/>
    <n v="960"/>
    <n v="760"/>
    <n v="497"/>
    <n v="334.62"/>
    <n v="323.18"/>
    <n v="0.65394736842105261"/>
    <n v="0.96581196581196582"/>
    <n v="0.67327967806841049"/>
    <n v="0.42523684210526319"/>
  </r>
  <r>
    <x v="154"/>
    <x v="2"/>
    <n v="1387"/>
    <n v="26"/>
    <n v="15"/>
    <n v="159"/>
    <n v="38"/>
    <n v="18"/>
    <n v="21"/>
    <n v="10"/>
    <n v="40"/>
    <n v="36"/>
    <m/>
    <n v="15"/>
    <n v="150"/>
    <n v="960"/>
    <n v="767"/>
    <n v="473"/>
    <n v="360.62"/>
    <n v="349.96000000000004"/>
    <n v="0.6166883963494133"/>
    <n v="0.97043979812545056"/>
    <n v="0.76241014799154339"/>
    <n v="0.45627118644067799"/>
  </r>
  <r>
    <x v="155"/>
    <x v="3"/>
    <n v="1222"/>
    <n v="15"/>
    <n v="50"/>
    <n v="141"/>
    <n v="44"/>
    <n v="17"/>
    <n v="16"/>
    <n v="10"/>
    <n v="22"/>
    <n v="31"/>
    <m/>
    <n v="20"/>
    <n v="150"/>
    <n v="960"/>
    <n v="763"/>
    <n v="509"/>
    <n v="317.72000000000003"/>
    <n v="300.82"/>
    <n v="0.66710353866317174"/>
    <n v="0.94680851063829785"/>
    <n v="0.62420432220039301"/>
    <n v="0.39425950196592402"/>
  </r>
  <r>
    <x v="156"/>
    <x v="4"/>
    <n v="1218"/>
    <n v="29"/>
    <n v="18"/>
    <n v="154"/>
    <n v="51"/>
    <n v="20"/>
    <n v="19"/>
    <n v="9"/>
    <n v="26"/>
    <n v="27"/>
    <m/>
    <n v="16"/>
    <n v="150"/>
    <n v="960"/>
    <n v="765"/>
    <n v="488"/>
    <n v="316.68"/>
    <n v="304.46000000000004"/>
    <n v="0.6379084967320261"/>
    <n v="0.96141215106732347"/>
    <n v="0.64893442622950825"/>
    <n v="0.39798692810457514"/>
  </r>
  <r>
    <x v="157"/>
    <x v="2"/>
    <n v="1221"/>
    <n v="11"/>
    <n v="48"/>
    <n v="149"/>
    <n v="48"/>
    <n v="16"/>
    <n v="20"/>
    <n v="11"/>
    <n v="27"/>
    <n v="26"/>
    <m/>
    <n v="16"/>
    <n v="150"/>
    <n v="960"/>
    <n v="767"/>
    <n v="497"/>
    <n v="317.46000000000004"/>
    <n v="302.12"/>
    <n v="0.64797913950456321"/>
    <n v="0.95167895167895167"/>
    <n v="0.63875251509054332"/>
    <n v="0.39389830508474577"/>
  </r>
  <r>
    <x v="158"/>
    <x v="3"/>
    <n v="1286"/>
    <n v="25"/>
    <n v="14"/>
    <n v="125"/>
    <n v="40"/>
    <n v="15"/>
    <n v="15"/>
    <n v="8"/>
    <n v="27"/>
    <n v="27"/>
    <m/>
    <n v="17"/>
    <n v="150"/>
    <n v="960"/>
    <n v="770"/>
    <n v="536"/>
    <n v="334.36"/>
    <n v="324.22000000000003"/>
    <n v="0.69610389610389611"/>
    <n v="0.96967340590979778"/>
    <n v="0.62380597014925376"/>
    <n v="0.42106493506493509"/>
  </r>
  <r>
    <x v="159"/>
    <x v="4"/>
    <n v="1347"/>
    <n v="15"/>
    <n v="31"/>
    <n v="154"/>
    <n v="43"/>
    <n v="17"/>
    <n v="15"/>
    <n v="6"/>
    <n v="27"/>
    <n v="32"/>
    <m/>
    <n v="18"/>
    <n v="150"/>
    <n v="960"/>
    <n v="769"/>
    <n v="498"/>
    <n v="350.22"/>
    <n v="338.26"/>
    <n v="0.64759427828348504"/>
    <n v="0.96585003711952488"/>
    <n v="0.70325301204819279"/>
    <n v="0.4398699609882965"/>
  </r>
  <r>
    <x v="160"/>
    <x v="4"/>
    <n v="1208"/>
    <n v="14"/>
    <n v="45"/>
    <n v="167"/>
    <n v="50"/>
    <n v="15"/>
    <n v="21"/>
    <n v="6"/>
    <m/>
    <n v="29"/>
    <n v="45"/>
    <n v="15"/>
    <n v="150"/>
    <n v="960"/>
    <n v="729"/>
    <n v="462"/>
    <n v="314.08"/>
    <n v="298.74"/>
    <n v="0.63374485596707819"/>
    <n v="0.95115894039735094"/>
    <n v="0.67982683982683978"/>
    <n v="0.40979423868312748"/>
  </r>
  <r>
    <x v="161"/>
    <x v="2"/>
    <n v="1307"/>
    <n v="22"/>
    <n v="35"/>
    <n v="131"/>
    <n v="43"/>
    <n v="16"/>
    <n v="23"/>
    <n v="12"/>
    <n v="40"/>
    <n v="35"/>
    <m/>
    <n v="14"/>
    <n v="150"/>
    <n v="960"/>
    <n v="768"/>
    <n v="496"/>
    <n v="339.82"/>
    <n v="325"/>
    <n v="0.64583333333333337"/>
    <n v="0.9563886763580719"/>
    <n v="0.68512096774193543"/>
    <n v="0.42317708333333331"/>
  </r>
  <r>
    <x v="162"/>
    <x v="3"/>
    <n v="1345"/>
    <n v="14"/>
    <n v="44"/>
    <n v="146"/>
    <n v="49"/>
    <n v="18"/>
    <n v="26"/>
    <n v="9"/>
    <n v="38"/>
    <n v="38"/>
    <m/>
    <n v="15"/>
    <n v="150"/>
    <n v="960"/>
    <n v="768"/>
    <n v="471"/>
    <n v="349.7"/>
    <n v="334.62"/>
    <n v="0.61328125"/>
    <n v="0.95687732342007437"/>
    <n v="0.74246284501061566"/>
    <n v="0.43570312499999997"/>
  </r>
  <r>
    <x v="163"/>
    <x v="1"/>
    <n v="1327"/>
    <n v="15"/>
    <n v="32"/>
    <n v="144"/>
    <n v="54"/>
    <n v="17"/>
    <n v="17"/>
    <n v="7"/>
    <n v="20"/>
    <n v="37"/>
    <m/>
    <n v="20"/>
    <n v="150"/>
    <n v="960"/>
    <n v="766"/>
    <n v="494"/>
    <n v="345.02000000000004"/>
    <n v="332.8"/>
    <n v="0.64490861618798956"/>
    <n v="0.96458176337603618"/>
    <n v="0.69842105263157905"/>
    <n v="0.43446475195822465"/>
  </r>
  <r>
    <x v="164"/>
    <x v="2"/>
    <n v="1273"/>
    <n v="27"/>
    <n v="12"/>
    <n v="136"/>
    <n v="52"/>
    <n v="19"/>
    <n v="22"/>
    <n v="9"/>
    <n v="20"/>
    <n v="38"/>
    <m/>
    <n v="17"/>
    <n v="150"/>
    <n v="960"/>
    <n v="765"/>
    <n v="497"/>
    <n v="330.98"/>
    <n v="320.84000000000003"/>
    <n v="0.64967320261437911"/>
    <n v="0.96936370777690495"/>
    <n v="0.66595573440643863"/>
    <n v="0.41939869281045755"/>
  </r>
  <r>
    <x v="165"/>
    <x v="3"/>
    <n v="1276"/>
    <n v="20"/>
    <n v="24"/>
    <n v="127"/>
    <n v="35"/>
    <n v="20"/>
    <n v="23"/>
    <n v="9"/>
    <n v="40"/>
    <n v="34"/>
    <m/>
    <n v="19"/>
    <n v="150"/>
    <n v="960"/>
    <n v="762"/>
    <n v="503"/>
    <n v="331.76"/>
    <n v="320.32"/>
    <n v="0.66010498687664043"/>
    <n v="0.96551724137931039"/>
    <n v="0.6595626242544731"/>
    <n v="0.42036745406824144"/>
  </r>
  <r>
    <x v="166"/>
    <x v="3"/>
    <n v="1111"/>
    <n v="13"/>
    <n v="47"/>
    <n v="160"/>
    <n v="53"/>
    <n v="18"/>
    <n v="17"/>
    <n v="10"/>
    <m/>
    <n v="32"/>
    <m/>
    <n v="13"/>
    <n v="150"/>
    <n v="960"/>
    <n v="769"/>
    <n v="507"/>
    <n v="288.86"/>
    <n v="273.26"/>
    <n v="0.65929778933680105"/>
    <n v="0.94599459945994602"/>
    <n v="0.56974358974358974"/>
    <n v="0.35534460338101431"/>
  </r>
  <r>
    <x v="167"/>
    <x v="4"/>
    <n v="1379"/>
    <n v="17"/>
    <n v="19"/>
    <n v="142"/>
    <n v="47"/>
    <n v="17"/>
    <n v="18"/>
    <n v="7"/>
    <n v="36"/>
    <n v="25"/>
    <m/>
    <n v="16"/>
    <n v="150"/>
    <n v="960"/>
    <n v="770"/>
    <n v="502"/>
    <n v="358.54"/>
    <n v="349.18"/>
    <n v="0.65194805194805194"/>
    <n v="0.97389412617839011"/>
    <n v="0.71422310756972118"/>
    <n v="0.45348051948051954"/>
  </r>
  <r>
    <x v="168"/>
    <x v="2"/>
    <n v="1326"/>
    <n v="14"/>
    <n v="16"/>
    <n v="137"/>
    <n v="44"/>
    <n v="20"/>
    <n v="21"/>
    <n v="7"/>
    <n v="35"/>
    <n v="31"/>
    <m/>
    <n v="15"/>
    <n v="150"/>
    <n v="960"/>
    <n v="768"/>
    <n v="500"/>
    <n v="344.76"/>
    <n v="336.96000000000004"/>
    <n v="0.65104166666666663"/>
    <n v="0.9773755656108597"/>
    <n v="0.68952000000000002"/>
    <n v="0.43874999999999997"/>
  </r>
  <r>
    <x v="169"/>
    <x v="3"/>
    <n v="1132"/>
    <n v="16"/>
    <n v="21"/>
    <n v="146"/>
    <n v="37"/>
    <n v="18"/>
    <n v="17"/>
    <n v="8"/>
    <n v="33"/>
    <n v="31"/>
    <m/>
    <n v="16"/>
    <n v="150"/>
    <n v="960"/>
    <n v="768"/>
    <n v="504"/>
    <n v="294.32"/>
    <n v="284.7"/>
    <n v="0.65625"/>
    <n v="0.96731448763250882"/>
    <n v="0.58396825396825391"/>
    <n v="0.37070312499999997"/>
  </r>
  <r>
    <x v="170"/>
    <x v="1"/>
    <n v="1220"/>
    <n v="26"/>
    <n v="15"/>
    <n v="171"/>
    <n v="46"/>
    <n v="19"/>
    <n v="15"/>
    <n v="8"/>
    <n v="28"/>
    <n v="27"/>
    <n v="55"/>
    <n v="14"/>
    <n v="150"/>
    <n v="960"/>
    <n v="714"/>
    <n v="427"/>
    <n v="317.2"/>
    <n v="306.54000000000002"/>
    <n v="0.59803921568627449"/>
    <n v="0.96639344262295079"/>
    <n v="0.74285714285714288"/>
    <n v="0.42932773109243694"/>
  </r>
  <r>
    <x v="171"/>
    <x v="2"/>
    <n v="1196"/>
    <n v="16"/>
    <n v="29"/>
    <n v="146"/>
    <n v="51"/>
    <n v="19"/>
    <n v="16"/>
    <n v="9"/>
    <n v="27"/>
    <n v="36"/>
    <m/>
    <n v="15"/>
    <n v="150"/>
    <n v="960"/>
    <n v="767"/>
    <n v="491"/>
    <n v="310.96000000000004"/>
    <n v="299.26"/>
    <n v="0.64015645371577579"/>
    <n v="0.9623745819397993"/>
    <n v="0.63331975560081477"/>
    <n v="0.39016949152542379"/>
  </r>
  <r>
    <x v="172"/>
    <x v="3"/>
    <n v="1214"/>
    <n v="20"/>
    <n v="45"/>
    <n v="119"/>
    <n v="61"/>
    <n v="16"/>
    <n v="19"/>
    <n v="11"/>
    <n v="17"/>
    <n v="34"/>
    <m/>
    <n v="15"/>
    <n v="150"/>
    <n v="960"/>
    <n v="768"/>
    <n v="518"/>
    <n v="315.64"/>
    <n v="298.74"/>
    <n v="0.67447916666666663"/>
    <n v="0.94645799011532128"/>
    <n v="0.60934362934362929"/>
    <n v="0.38898437499999994"/>
  </r>
  <r>
    <x v="173"/>
    <x v="4"/>
    <n v="1213"/>
    <n v="13"/>
    <n v="15"/>
    <n v="136"/>
    <n v="54"/>
    <n v="16"/>
    <n v="14"/>
    <n v="12"/>
    <n v="23"/>
    <n v="38"/>
    <m/>
    <n v="15"/>
    <n v="150"/>
    <n v="960"/>
    <n v="767"/>
    <n v="502"/>
    <n v="315.38"/>
    <n v="308.10000000000002"/>
    <n v="0.65449804432855285"/>
    <n v="0.97691673536685908"/>
    <n v="0.62824701195219124"/>
    <n v="0.40169491525423734"/>
  </r>
  <r>
    <x v="174"/>
    <x v="2"/>
    <n v="1268"/>
    <n v="27"/>
    <n v="32"/>
    <n v="140"/>
    <n v="45"/>
    <n v="20"/>
    <n v="21"/>
    <n v="10"/>
    <n v="34"/>
    <n v="37"/>
    <m/>
    <n v="17"/>
    <n v="150"/>
    <n v="960"/>
    <n v="763"/>
    <n v="486"/>
    <n v="329.68"/>
    <n v="314.34000000000003"/>
    <n v="0.63695937090432508"/>
    <n v="0.95347003154574128"/>
    <n v="0.67835390946502061"/>
    <n v="0.41197903014416776"/>
  </r>
  <r>
    <x v="175"/>
    <x v="3"/>
    <n v="1307"/>
    <n v="20"/>
    <n v="36"/>
    <n v="147"/>
    <n v="50"/>
    <n v="20"/>
    <n v="15"/>
    <n v="8"/>
    <n v="18"/>
    <n v="35"/>
    <m/>
    <n v="13"/>
    <n v="150"/>
    <n v="960"/>
    <n v="769"/>
    <n v="504"/>
    <n v="339.82"/>
    <n v="325.26"/>
    <n v="0.65539661898569568"/>
    <n v="0.95715378729915834"/>
    <n v="0.6742460317460317"/>
    <n v="0.42296488946683997"/>
  </r>
  <r>
    <x v="176"/>
    <x v="1"/>
    <n v="1221"/>
    <n v="24"/>
    <n v="47"/>
    <n v="150"/>
    <n v="52"/>
    <n v="18"/>
    <n v="21"/>
    <n v="13"/>
    <n v="20"/>
    <n v="32"/>
    <m/>
    <n v="14"/>
    <n v="150"/>
    <n v="960"/>
    <n v="765"/>
    <n v="490"/>
    <n v="317.46000000000004"/>
    <n v="299"/>
    <n v="0.64052287581699341"/>
    <n v="0.94185094185094187"/>
    <n v="0.64787755102040823"/>
    <n v="0.39084967320261443"/>
  </r>
  <r>
    <x v="177"/>
    <x v="3"/>
    <n v="1209"/>
    <n v="27"/>
    <n v="30"/>
    <n v="156"/>
    <n v="44"/>
    <n v="20"/>
    <n v="24"/>
    <n v="6"/>
    <n v="27"/>
    <n v="36"/>
    <m/>
    <n v="15"/>
    <n v="150"/>
    <n v="960"/>
    <n v="769"/>
    <n v="482"/>
    <n v="314.34000000000003"/>
    <n v="299.52"/>
    <n v="0.62678803641092329"/>
    <n v="0.95285359801488834"/>
    <n v="0.65215767634854782"/>
    <n v="0.38949284785435634"/>
  </r>
  <r>
    <x v="178"/>
    <x v="3"/>
    <n v="1306"/>
    <n v="25"/>
    <n v="39"/>
    <n v="157"/>
    <n v="49"/>
    <n v="15"/>
    <n v="21"/>
    <n v="8"/>
    <m/>
    <n v="29"/>
    <m/>
    <n v="16"/>
    <n v="150"/>
    <n v="960"/>
    <n v="771"/>
    <n v="515"/>
    <n v="339.56"/>
    <n v="322.92"/>
    <n v="0.66796368352788582"/>
    <n v="0.95099540581929554"/>
    <n v="0.65933980582524276"/>
    <n v="0.41883268482490271"/>
  </r>
  <r>
    <x v="179"/>
    <x v="4"/>
    <n v="1265"/>
    <n v="29"/>
    <n v="46"/>
    <n v="161"/>
    <n v="50"/>
    <n v="19"/>
    <n v="14"/>
    <n v="12"/>
    <n v="27"/>
    <n v="33"/>
    <m/>
    <n v="16"/>
    <n v="150"/>
    <n v="960"/>
    <n v="763"/>
    <n v="478"/>
    <n v="328.90000000000003"/>
    <n v="309.40000000000003"/>
    <n v="0.62647444298820443"/>
    <n v="0.94071146245059289"/>
    <n v="0.6880753138075314"/>
    <n v="0.40550458715596333"/>
  </r>
  <r>
    <x v="180"/>
    <x v="1"/>
    <n v="1213"/>
    <n v="30"/>
    <n v="29"/>
    <n v="150"/>
    <n v="54"/>
    <n v="15"/>
    <n v="27"/>
    <n v="8"/>
    <n v="17"/>
    <n v="28"/>
    <n v="65"/>
    <n v="17"/>
    <n v="150"/>
    <n v="960"/>
    <n v="705"/>
    <n v="429"/>
    <n v="315.38"/>
    <n v="300.04000000000002"/>
    <n v="0.60851063829787233"/>
    <n v="0.95136026380873862"/>
    <n v="0.73515151515151511"/>
    <n v="0.42558865248226951"/>
  </r>
  <r>
    <x v="181"/>
    <x v="3"/>
    <n v="1293"/>
    <n v="19"/>
    <n v="44"/>
    <n v="152"/>
    <n v="49"/>
    <n v="19"/>
    <n v="17"/>
    <n v="7"/>
    <n v="18"/>
    <n v="30"/>
    <m/>
    <n v="12"/>
    <n v="150"/>
    <n v="960"/>
    <n v="772"/>
    <n v="506"/>
    <n v="336.18"/>
    <n v="319.8"/>
    <n v="0.65544041450777202"/>
    <n v="0.95127610208816704"/>
    <n v="0.66438735177865615"/>
    <n v="0.41424870466321245"/>
  </r>
  <r>
    <x v="182"/>
    <x v="2"/>
    <n v="1074"/>
    <n v="16"/>
    <n v="34"/>
    <n v="146"/>
    <n v="47"/>
    <n v="16"/>
    <n v="19"/>
    <n v="8"/>
    <n v="37"/>
    <n v="27"/>
    <m/>
    <n v="13"/>
    <n v="150"/>
    <n v="960"/>
    <n v="773"/>
    <n v="497"/>
    <n v="279.24"/>
    <n v="266.24"/>
    <n v="0.64294954721862874"/>
    <n v="0.95344506517690875"/>
    <n v="0.56185110663983906"/>
    <n v="0.34442432082794311"/>
  </r>
  <r>
    <x v="183"/>
    <x v="3"/>
    <n v="1117"/>
    <n v="29"/>
    <n v="14"/>
    <n v="149"/>
    <n v="43"/>
    <n v="19"/>
    <n v="24"/>
    <n v="9"/>
    <n v="36"/>
    <n v="32"/>
    <m/>
    <n v="18"/>
    <n v="150"/>
    <n v="960"/>
    <n v="764"/>
    <n v="480"/>
    <n v="290.42"/>
    <n v="279.24"/>
    <n v="0.62827225130890052"/>
    <n v="0.96150402864816475"/>
    <n v="0.6050416666666667"/>
    <n v="0.36549738219895289"/>
  </r>
  <r>
    <x v="184"/>
    <x v="4"/>
    <n v="1171"/>
    <n v="27"/>
    <n v="45"/>
    <n v="164"/>
    <n v="54"/>
    <n v="20"/>
    <n v="21"/>
    <n v="11"/>
    <n v="24"/>
    <n v="29"/>
    <m/>
    <n v="18"/>
    <n v="150"/>
    <n v="960"/>
    <n v="761"/>
    <n v="469"/>
    <n v="304.46000000000004"/>
    <n v="285.74"/>
    <n v="0.61629434954007889"/>
    <n v="0.93851409052092227"/>
    <n v="0.64916844349680181"/>
    <n v="0.37547963206307494"/>
  </r>
  <r>
    <x v="185"/>
    <x v="3"/>
    <n v="1138"/>
    <n v="21"/>
    <n v="47"/>
    <n v="135"/>
    <n v="50"/>
    <n v="15"/>
    <n v="25"/>
    <n v="7"/>
    <n v="29"/>
    <n v="33"/>
    <m/>
    <n v="13"/>
    <n v="150"/>
    <n v="960"/>
    <n v="775"/>
    <n v="503"/>
    <n v="295.88"/>
    <n v="278.2"/>
    <n v="0.64903225806451614"/>
    <n v="0.94024604569420034"/>
    <n v="0.58823061630218687"/>
    <n v="0.35896774193548386"/>
  </r>
  <r>
    <x v="186"/>
    <x v="4"/>
    <n v="1192"/>
    <n v="28"/>
    <n v="20"/>
    <n v="179"/>
    <n v="45"/>
    <n v="19"/>
    <n v="14"/>
    <n v="11"/>
    <n v="39"/>
    <n v="31"/>
    <m/>
    <n v="17"/>
    <n v="150"/>
    <n v="960"/>
    <n v="763"/>
    <n v="455"/>
    <n v="309.92"/>
    <n v="297.44"/>
    <n v="0.59633027522935778"/>
    <n v="0.95973154362416102"/>
    <n v="0.68114285714285716"/>
    <n v="0.389829619921363"/>
  </r>
  <r>
    <x v="187"/>
    <x v="1"/>
    <n v="1080"/>
    <n v="19"/>
    <n v="37"/>
    <n v="166"/>
    <n v="51"/>
    <n v="15"/>
    <n v="15"/>
    <n v="8"/>
    <n v="31"/>
    <n v="26"/>
    <m/>
    <n v="16"/>
    <n v="150"/>
    <n v="960"/>
    <n v="771"/>
    <n v="482"/>
    <n v="280.8"/>
    <n v="266.24"/>
    <n v="0.6251621271076524"/>
    <n v="0.94814814814814818"/>
    <n v="0.58257261410788386"/>
    <n v="0.34531776913099876"/>
  </r>
  <r>
    <x v="188"/>
    <x v="2"/>
    <n v="1178"/>
    <n v="25"/>
    <n v="21"/>
    <n v="138"/>
    <n v="46"/>
    <n v="15"/>
    <n v="15"/>
    <n v="6"/>
    <n v="35"/>
    <n v="37"/>
    <m/>
    <n v="14"/>
    <n v="150"/>
    <n v="960"/>
    <n v="775"/>
    <n v="504"/>
    <n v="306.28000000000003"/>
    <n v="294.32"/>
    <n v="0.65032258064516124"/>
    <n v="0.96095076400679114"/>
    <n v="0.60769841269841274"/>
    <n v="0.37976774193548385"/>
  </r>
  <r>
    <x v="189"/>
    <x v="3"/>
    <n v="983"/>
    <n v="14"/>
    <n v="26"/>
    <n v="163"/>
    <n v="43"/>
    <n v="19"/>
    <n v="13"/>
    <n v="10"/>
    <n v="39"/>
    <n v="32"/>
    <m/>
    <n v="18"/>
    <n v="150"/>
    <n v="960"/>
    <n v="763"/>
    <n v="473"/>
    <n v="255.58"/>
    <n v="245.18"/>
    <n v="0.61992136304062906"/>
    <n v="0.95930824008138349"/>
    <n v="0.540338266384778"/>
    <n v="0.32133682830930532"/>
  </r>
  <r>
    <x v="190"/>
    <x v="4"/>
    <n v="1165"/>
    <n v="17"/>
    <n v="30"/>
    <n v="127"/>
    <n v="41"/>
    <n v="19"/>
    <n v="18"/>
    <n v="7"/>
    <n v="36"/>
    <n v="33"/>
    <n v="30"/>
    <n v="16"/>
    <n v="150"/>
    <n v="960"/>
    <n v="738"/>
    <n v="483"/>
    <n v="302.90000000000003"/>
    <n v="290.68"/>
    <n v="0.65447154471544711"/>
    <n v="0.95965665236051501"/>
    <n v="0.6271221532091098"/>
    <n v="0.39387533875338754"/>
  </r>
  <r>
    <x v="191"/>
    <x v="2"/>
    <n v="1146"/>
    <n v="22"/>
    <n v="41"/>
    <n v="142"/>
    <n v="45"/>
    <n v="19"/>
    <n v="17"/>
    <n v="8"/>
    <n v="29"/>
    <n v="28"/>
    <m/>
    <n v="15"/>
    <n v="150"/>
    <n v="960"/>
    <n v="768"/>
    <n v="507"/>
    <n v="297.96000000000004"/>
    <n v="281.58"/>
    <n v="0.66015625"/>
    <n v="0.94502617801047117"/>
    <n v="0.58769230769230774"/>
    <n v="0.366640625"/>
  </r>
  <r>
    <x v="192"/>
    <x v="1"/>
    <n v="1260"/>
    <n v="21"/>
    <n v="50"/>
    <n v="147"/>
    <n v="53"/>
    <n v="17"/>
    <n v="25"/>
    <n v="9"/>
    <n v="19"/>
    <n v="29"/>
    <m/>
    <n v="16"/>
    <n v="150"/>
    <n v="960"/>
    <n v="768"/>
    <n v="495"/>
    <n v="327.60000000000002"/>
    <n v="309.14"/>
    <n v="0.64453125"/>
    <n v="0.94365079365079363"/>
    <n v="0.66181818181818186"/>
    <n v="0.40252604166666667"/>
  </r>
  <r>
    <x v="193"/>
    <x v="1"/>
    <n v="1199"/>
    <n v="21"/>
    <n v="17"/>
    <n v="177"/>
    <n v="46"/>
    <n v="18"/>
    <n v="19"/>
    <n v="13"/>
    <m/>
    <n v="32"/>
    <m/>
    <n v="19"/>
    <n v="150"/>
    <n v="960"/>
    <n v="760"/>
    <n v="486"/>
    <n v="311.74"/>
    <n v="301.86"/>
    <n v="0.63947368421052631"/>
    <n v="0.96830692243536276"/>
    <n v="0.64144032921810701"/>
    <n v="0.39718421052631575"/>
  </r>
  <r>
    <x v="194"/>
    <x v="1"/>
    <n v="1260"/>
    <n v="10"/>
    <n v="22"/>
    <n v="180"/>
    <n v="40"/>
    <n v="17"/>
    <n v="17"/>
    <n v="8"/>
    <m/>
    <n v="34"/>
    <m/>
    <n v="17"/>
    <n v="150"/>
    <n v="960"/>
    <n v="768"/>
    <n v="497"/>
    <n v="327.60000000000002"/>
    <n v="319.28000000000003"/>
    <n v="0.64713541666666663"/>
    <n v="0.97460317460317458"/>
    <n v="0.6591549295774648"/>
    <n v="0.41572916666666665"/>
  </r>
  <r>
    <x v="195"/>
    <x v="2"/>
    <n v="1111"/>
    <n v="24"/>
    <n v="22"/>
    <n v="166"/>
    <n v="44"/>
    <n v="16"/>
    <n v="16"/>
    <n v="9"/>
    <n v="32"/>
    <n v="36"/>
    <m/>
    <n v="14"/>
    <n v="150"/>
    <n v="960"/>
    <n v="771"/>
    <n v="477"/>
    <n v="288.86"/>
    <n v="276.90000000000003"/>
    <n v="0.61867704280155644"/>
    <n v="0.95859585958595861"/>
    <n v="0.60557651991614259"/>
    <n v="0.35914396887159533"/>
  </r>
  <r>
    <x v="196"/>
    <x v="2"/>
    <n v="1214"/>
    <n v="25"/>
    <n v="8"/>
    <n v="158"/>
    <n v="53"/>
    <n v="19"/>
    <n v="26"/>
    <n v="13"/>
    <m/>
    <n v="37"/>
    <m/>
    <n v="15"/>
    <n v="150"/>
    <n v="960"/>
    <n v="763"/>
    <n v="489"/>
    <n v="315.64"/>
    <n v="307.06"/>
    <n v="0.64089121887287026"/>
    <n v="0.97281713344316312"/>
    <n v="0.64548057259713698"/>
    <n v="0.40243774574049807"/>
  </r>
  <r>
    <x v="197"/>
    <x v="2"/>
    <n v="1042"/>
    <n v="25"/>
    <n v="31"/>
    <n v="131"/>
    <n v="42"/>
    <n v="18"/>
    <n v="11"/>
    <n v="11"/>
    <m/>
    <n v="28"/>
    <m/>
    <n v="19"/>
    <n v="150"/>
    <n v="960"/>
    <n v="762"/>
    <n v="550"/>
    <n v="270.92"/>
    <n v="256.36"/>
    <n v="0.72178477690288712"/>
    <n v="0.946257197696737"/>
    <n v="0.49258181818181823"/>
    <n v="0.33643044619422574"/>
  </r>
  <r>
    <x v="198"/>
    <x v="3"/>
    <n v="1198"/>
    <n v="20"/>
    <n v="39"/>
    <n v="163"/>
    <n v="49"/>
    <n v="16"/>
    <n v="16"/>
    <n v="7"/>
    <n v="16"/>
    <n v="37"/>
    <m/>
    <n v="17"/>
    <n v="150"/>
    <n v="960"/>
    <n v="770"/>
    <n v="489"/>
    <n v="311.48"/>
    <n v="296.14"/>
    <n v="0.63506493506493511"/>
    <n v="0.95075125208681133"/>
    <n v="0.63697341513292438"/>
    <n v="0.3845974025974026"/>
  </r>
  <r>
    <x v="199"/>
    <x v="1"/>
    <n v="1254"/>
    <n v="26"/>
    <n v="23"/>
    <n v="162"/>
    <n v="47"/>
    <n v="16"/>
    <n v="21"/>
    <n v="11"/>
    <n v="21"/>
    <n v="33"/>
    <m/>
    <n v="18"/>
    <n v="150"/>
    <n v="960"/>
    <n v="765"/>
    <n v="481"/>
    <n v="326.04000000000002"/>
    <n v="313.3"/>
    <n v="0.62875816993464051"/>
    <n v="0.96092503987240829"/>
    <n v="0.67783783783783791"/>
    <n v="0.40954248366013074"/>
  </r>
  <r>
    <x v="200"/>
    <x v="2"/>
    <n v="964"/>
    <n v="11"/>
    <n v="5"/>
    <n v="171"/>
    <n v="56"/>
    <n v="19"/>
    <n v="24"/>
    <n v="9"/>
    <n v="26"/>
    <n v="29"/>
    <n v="45"/>
    <n v="18"/>
    <n v="150"/>
    <n v="960"/>
    <n v="719"/>
    <n v="413"/>
    <n v="250.64000000000001"/>
    <n v="246.48000000000002"/>
    <n v="0.57440890125173849"/>
    <n v="0.98340248962655596"/>
    <n v="0.60687651331719128"/>
    <n v="0.34280945757997217"/>
  </r>
  <r>
    <x v="201"/>
    <x v="3"/>
    <n v="1298"/>
    <n v="14"/>
    <n v="15"/>
    <n v="158"/>
    <n v="47"/>
    <n v="20"/>
    <n v="21"/>
    <n v="11"/>
    <n v="32"/>
    <n v="30"/>
    <m/>
    <n v="16"/>
    <n v="150"/>
    <n v="960"/>
    <n v="763"/>
    <n v="475"/>
    <n v="337.48"/>
    <n v="329.94"/>
    <n v="0.62254259501965925"/>
    <n v="0.97765793528505396"/>
    <n v="0.71048421052631583"/>
    <n v="0.43242463958060295"/>
  </r>
  <r>
    <x v="202"/>
    <x v="4"/>
    <n v="1095"/>
    <n v="13"/>
    <n v="28"/>
    <n v="182"/>
    <n v="39"/>
    <n v="19"/>
    <n v="28"/>
    <n v="7"/>
    <n v="24"/>
    <n v="29"/>
    <m/>
    <n v="20"/>
    <n v="150"/>
    <n v="960"/>
    <n v="764"/>
    <n v="462"/>
    <n v="284.7"/>
    <n v="274.04000000000002"/>
    <n v="0.60471204188481675"/>
    <n v="0.96255707762557075"/>
    <n v="0.61623376623376624"/>
    <n v="0.35869109947643979"/>
  </r>
  <r>
    <x v="203"/>
    <x v="2"/>
    <n v="1209"/>
    <n v="18"/>
    <n v="16"/>
    <n v="162"/>
    <n v="43"/>
    <n v="19"/>
    <n v="26"/>
    <n v="10"/>
    <n v="18"/>
    <n v="31"/>
    <m/>
    <n v="16"/>
    <n v="150"/>
    <n v="960"/>
    <n v="765"/>
    <n v="485"/>
    <n v="314.34000000000003"/>
    <n v="305.5"/>
    <n v="0.63398692810457513"/>
    <n v="0.97187758478081054"/>
    <n v="0.6481237113402063"/>
    <n v="0.39934640522875819"/>
  </r>
  <r>
    <x v="204"/>
    <x v="3"/>
    <n v="1192"/>
    <n v="19"/>
    <n v="24"/>
    <n v="153"/>
    <n v="48"/>
    <n v="20"/>
    <n v="16"/>
    <n v="6"/>
    <n v="20"/>
    <n v="27"/>
    <m/>
    <n v="18"/>
    <n v="150"/>
    <n v="960"/>
    <n v="766"/>
    <n v="502"/>
    <n v="309.92"/>
    <n v="298.74"/>
    <n v="0.65535248041775462"/>
    <n v="0.96392617449664431"/>
    <n v="0.6173705179282869"/>
    <n v="0.39000000000000007"/>
  </r>
  <r>
    <x v="205"/>
    <x v="4"/>
    <n v="1178"/>
    <n v="27"/>
    <n v="19"/>
    <n v="188"/>
    <n v="57"/>
    <n v="19"/>
    <n v="22"/>
    <n v="8"/>
    <n v="31"/>
    <n v="33"/>
    <m/>
    <n v="16"/>
    <n v="150"/>
    <n v="960"/>
    <n v="767"/>
    <n v="436"/>
    <n v="306.28000000000003"/>
    <n v="294.32"/>
    <n v="0.56844850065189045"/>
    <n v="0.96095076400679114"/>
    <n v="0.70247706422018352"/>
    <n v="0.38372881355932204"/>
  </r>
  <r>
    <x v="206"/>
    <x v="4"/>
    <n v="1097"/>
    <n v="28"/>
    <n v="20"/>
    <n v="133"/>
    <n v="52"/>
    <n v="18"/>
    <n v="17"/>
    <n v="11"/>
    <m/>
    <n v="30"/>
    <m/>
    <n v="14"/>
    <n v="150"/>
    <n v="960"/>
    <n v="767"/>
    <n v="535"/>
    <n v="285.22000000000003"/>
    <n v="272.74"/>
    <n v="0.69752281616688394"/>
    <n v="0.95624430264357341"/>
    <n v="0.53312149532710285"/>
    <n v="0.35559322033898311"/>
  </r>
  <r>
    <x v="207"/>
    <x v="2"/>
    <n v="1159"/>
    <n v="26"/>
    <n v="40"/>
    <n v="159"/>
    <n v="50"/>
    <n v="18"/>
    <n v="13"/>
    <n v="8"/>
    <n v="21"/>
    <n v="33"/>
    <m/>
    <n v="16"/>
    <n v="150"/>
    <n v="960"/>
    <n v="768"/>
    <n v="492"/>
    <n v="301.34000000000003"/>
    <n v="284.18"/>
    <n v="0.640625"/>
    <n v="0.9430543572044866"/>
    <n v="0.61247967479674803"/>
    <n v="0.37002604166666669"/>
  </r>
  <r>
    <x v="208"/>
    <x v="3"/>
    <n v="895"/>
    <n v="12"/>
    <n v="45"/>
    <n v="163"/>
    <n v="57"/>
    <n v="16"/>
    <n v="22"/>
    <n v="7"/>
    <n v="16"/>
    <n v="32"/>
    <m/>
    <n v="20"/>
    <n v="150"/>
    <n v="960"/>
    <n v="767"/>
    <n v="477"/>
    <n v="232.70000000000002"/>
    <n v="217.88"/>
    <n v="0.62190352020860495"/>
    <n v="0.93631284916201118"/>
    <n v="0.48784067085953881"/>
    <n v="0.28406779661016951"/>
  </r>
  <r>
    <x v="209"/>
    <x v="1"/>
    <n v="1086"/>
    <n v="12"/>
    <n v="33"/>
    <n v="145"/>
    <n v="55"/>
    <n v="19"/>
    <n v="21"/>
    <n v="6"/>
    <n v="26"/>
    <n v="27"/>
    <m/>
    <n v="15"/>
    <n v="150"/>
    <n v="960"/>
    <n v="770"/>
    <n v="496"/>
    <n v="282.36"/>
    <n v="270.66000000000003"/>
    <n v="0.64415584415584415"/>
    <n v="0.95856353591160226"/>
    <n v="0.56927419354838715"/>
    <n v="0.35150649350649354"/>
  </r>
  <r>
    <x v="210"/>
    <x v="2"/>
    <n v="1049"/>
    <n v="10"/>
    <n v="39"/>
    <n v="151"/>
    <n v="52"/>
    <n v="19"/>
    <n v="25"/>
    <n v="11"/>
    <n v="24"/>
    <n v="33"/>
    <n v="45"/>
    <n v="14"/>
    <n v="150"/>
    <n v="960"/>
    <n v="721"/>
    <n v="436"/>
    <n v="272.74"/>
    <n v="260"/>
    <n v="0.60471567267683768"/>
    <n v="0.95328884652049573"/>
    <n v="0.62555045871559634"/>
    <n v="0.36061026352288489"/>
  </r>
  <r>
    <x v="211"/>
    <x v="3"/>
    <n v="1197"/>
    <n v="22"/>
    <n v="6"/>
    <n v="195"/>
    <n v="46"/>
    <n v="17"/>
    <n v="25"/>
    <n v="6"/>
    <n v="34"/>
    <n v="25"/>
    <m/>
    <n v="19"/>
    <n v="150"/>
    <n v="960"/>
    <n v="768"/>
    <n v="443"/>
    <n v="311.22000000000003"/>
    <n v="303.94"/>
    <n v="0.57682291666666663"/>
    <n v="0.97660818713450293"/>
    <n v="0.702528216704289"/>
    <n v="0.39575520833333333"/>
  </r>
  <r>
    <x v="212"/>
    <x v="3"/>
    <n v="1057"/>
    <n v="11"/>
    <n v="22"/>
    <n v="174"/>
    <n v="56"/>
    <n v="16"/>
    <n v="24"/>
    <n v="8"/>
    <m/>
    <n v="38"/>
    <m/>
    <n v="15"/>
    <n v="150"/>
    <n v="960"/>
    <n v="771"/>
    <n v="479"/>
    <n v="274.82"/>
    <n v="266.24"/>
    <n v="0.62127107652399483"/>
    <n v="0.96877956480605487"/>
    <n v="0.57373695198329855"/>
    <n v="0.34531776913099871"/>
  </r>
  <r>
    <x v="213"/>
    <x v="4"/>
    <n v="1080"/>
    <n v="17"/>
    <n v="40"/>
    <n v="163"/>
    <n v="51"/>
    <n v="15"/>
    <n v="18"/>
    <n v="10"/>
    <n v="28"/>
    <n v="34"/>
    <m/>
    <n v="18"/>
    <n v="150"/>
    <n v="960"/>
    <n v="767"/>
    <n v="473"/>
    <n v="280.8"/>
    <n v="265.98"/>
    <n v="0.6166883963494133"/>
    <n v="0.94722222222222219"/>
    <n v="0.59365750528541228"/>
    <n v="0.34677966101694918"/>
  </r>
  <r>
    <x v="214"/>
    <x v="2"/>
    <n v="1076"/>
    <n v="10"/>
    <n v="33"/>
    <n v="144"/>
    <n v="55"/>
    <n v="16"/>
    <n v="18"/>
    <n v="12"/>
    <n v="37"/>
    <n v="33"/>
    <m/>
    <n v="14"/>
    <n v="150"/>
    <n v="960"/>
    <n v="768"/>
    <n v="481"/>
    <n v="279.76"/>
    <n v="268.58"/>
    <n v="0.62630208333333337"/>
    <n v="0.96003717472118955"/>
    <n v="0.58162162162162157"/>
    <n v="0.34971354166666668"/>
  </r>
  <r>
    <x v="215"/>
    <x v="3"/>
    <n v="1174"/>
    <n v="16"/>
    <n v="28"/>
    <n v="168"/>
    <n v="47"/>
    <n v="16"/>
    <n v="26"/>
    <n v="8"/>
    <n v="38"/>
    <n v="35"/>
    <m/>
    <n v="17"/>
    <n v="150"/>
    <n v="960"/>
    <n v="769"/>
    <n v="455"/>
    <n v="305.24"/>
    <n v="293.8"/>
    <n v="0.59167750325097535"/>
    <n v="0.96252129471890968"/>
    <n v="0.67085714285714293"/>
    <n v="0.3820546163849155"/>
  </r>
  <r>
    <x v="216"/>
    <x v="1"/>
    <n v="1021"/>
    <n v="15"/>
    <n v="35"/>
    <n v="179"/>
    <n v="59"/>
    <n v="16"/>
    <n v="28"/>
    <n v="7"/>
    <n v="22"/>
    <n v="34"/>
    <m/>
    <n v="14"/>
    <n v="150"/>
    <n v="960"/>
    <n v="773"/>
    <n v="451"/>
    <n v="265.46000000000004"/>
    <n v="252.46"/>
    <n v="0.58344113842173351"/>
    <n v="0.95102840352595497"/>
    <n v="0.58860310421286044"/>
    <n v="0.32659767141009061"/>
  </r>
  <r>
    <x v="217"/>
    <x v="2"/>
    <n v="949"/>
    <n v="20"/>
    <n v="39"/>
    <n v="166"/>
    <n v="43"/>
    <n v="17"/>
    <n v="22"/>
    <n v="10"/>
    <n v="15"/>
    <n v="27"/>
    <m/>
    <n v="15"/>
    <n v="150"/>
    <n v="960"/>
    <n v="768"/>
    <n v="495"/>
    <n v="246.74"/>
    <n v="231.4"/>
    <n v="0.64453125"/>
    <n v="0.93782929399367754"/>
    <n v="0.4984646464646465"/>
    <n v="0.30130208333333336"/>
  </r>
  <r>
    <x v="218"/>
    <x v="3"/>
    <n v="1219"/>
    <n v="23"/>
    <n v="37"/>
    <n v="175"/>
    <n v="60"/>
    <n v="18"/>
    <n v="17"/>
    <n v="8"/>
    <n v="17"/>
    <n v="30"/>
    <m/>
    <n v="16"/>
    <n v="150"/>
    <n v="960"/>
    <n v="768"/>
    <n v="469"/>
    <n v="316.94"/>
    <n v="301.34000000000003"/>
    <n v="0.61067708333333337"/>
    <n v="0.95077932731747339"/>
    <n v="0.67577825159914706"/>
    <n v="0.39236979166666669"/>
  </r>
  <r>
    <x v="219"/>
    <x v="4"/>
    <n v="988"/>
    <n v="28"/>
    <n v="9"/>
    <n v="166"/>
    <n v="47"/>
    <n v="17"/>
    <n v="22"/>
    <n v="5"/>
    <n v="20"/>
    <n v="28"/>
    <m/>
    <n v="17"/>
    <n v="150"/>
    <n v="960"/>
    <n v="771"/>
    <n v="488"/>
    <n v="256.88"/>
    <n v="247.26000000000002"/>
    <n v="0.63294422827496755"/>
    <n v="0.96255060728744934"/>
    <n v="0.52639344262295085"/>
    <n v="0.32070038910505833"/>
  </r>
  <r>
    <x v="220"/>
    <x v="2"/>
    <n v="1044"/>
    <n v="12"/>
    <n v="9"/>
    <n v="159"/>
    <n v="58"/>
    <n v="17"/>
    <n v="24"/>
    <n v="6"/>
    <n v="26"/>
    <n v="33"/>
    <n v="30"/>
    <n v="14"/>
    <n v="150"/>
    <n v="960"/>
    <n v="743"/>
    <n v="443"/>
    <n v="271.44"/>
    <n v="265.98"/>
    <n v="0.59623149394347241"/>
    <n v="0.97988505747126442"/>
    <n v="0.61273137697516933"/>
    <n v="0.35798115746971743"/>
  </r>
  <r>
    <x v="221"/>
    <x v="3"/>
    <n v="1174"/>
    <n v="23"/>
    <n v="10"/>
    <n v="148"/>
    <n v="56"/>
    <n v="16"/>
    <n v="21"/>
    <n v="9"/>
    <n v="17"/>
    <n v="34"/>
    <m/>
    <n v="15"/>
    <n v="150"/>
    <n v="960"/>
    <n v="770"/>
    <n v="494"/>
    <n v="305.24"/>
    <n v="296.66000000000003"/>
    <n v="0.64155844155844155"/>
    <n v="0.97189097103918232"/>
    <n v="0.61789473684210527"/>
    <n v="0.38527272727272727"/>
  </r>
  <r>
    <x v="222"/>
    <x v="1"/>
    <n v="920"/>
    <n v="26"/>
    <n v="29"/>
    <n v="158"/>
    <n v="49"/>
    <n v="18"/>
    <n v="21"/>
    <n v="7"/>
    <n v="26"/>
    <n v="30"/>
    <m/>
    <n v="14"/>
    <n v="150"/>
    <n v="960"/>
    <n v="771"/>
    <n v="487"/>
    <n v="239.20000000000002"/>
    <n v="224.9"/>
    <n v="0.63164721141374836"/>
    <n v="0.94021739130434778"/>
    <n v="0.491170431211499"/>
    <n v="0.29169909208819716"/>
  </r>
  <r>
    <x v="223"/>
    <x v="4"/>
    <n v="1076"/>
    <n v="18"/>
    <n v="47"/>
    <n v="161"/>
    <n v="49"/>
    <n v="20"/>
    <n v="24"/>
    <n v="10"/>
    <n v="30"/>
    <n v="37"/>
    <m/>
    <n v="17"/>
    <n v="150"/>
    <n v="960"/>
    <n v="763"/>
    <n v="462"/>
    <n v="279.76"/>
    <n v="262.86"/>
    <n v="0.60550458715596334"/>
    <n v="0.93959107806691455"/>
    <n v="0.60554112554112549"/>
    <n v="0.34450851900393187"/>
  </r>
  <r>
    <x v="224"/>
    <x v="1"/>
    <n v="1107"/>
    <n v="24"/>
    <n v="21"/>
    <n v="173"/>
    <n v="52"/>
    <n v="20"/>
    <n v="26"/>
    <n v="13"/>
    <n v="24"/>
    <n v="33"/>
    <m/>
    <n v="18"/>
    <n v="150"/>
    <n v="960"/>
    <n v="759"/>
    <n v="451"/>
    <n v="287.82"/>
    <n v="276.12"/>
    <n v="0.59420289855072461"/>
    <n v="0.95934959349593496"/>
    <n v="0.63818181818181818"/>
    <n v="0.36379446640316204"/>
  </r>
  <r>
    <x v="225"/>
    <x v="3"/>
    <n v="967"/>
    <n v="13"/>
    <n v="27"/>
    <n v="140"/>
    <n v="45"/>
    <n v="17"/>
    <n v="22"/>
    <n v="8"/>
    <n v="28"/>
    <n v="37"/>
    <m/>
    <n v="15"/>
    <n v="150"/>
    <n v="960"/>
    <n v="770"/>
    <n v="498"/>
    <n v="251.42000000000002"/>
    <n v="241.02"/>
    <n v="0.64675324675324675"/>
    <n v="0.95863495346432259"/>
    <n v="0.50485943775100406"/>
    <n v="0.31301298701298702"/>
  </r>
  <r>
    <x v="226"/>
    <x v="3"/>
    <n v="1121"/>
    <n v="14"/>
    <n v="8"/>
    <n v="169"/>
    <n v="57"/>
    <n v="19"/>
    <n v="16"/>
    <n v="7"/>
    <m/>
    <n v="30"/>
    <m/>
    <n v="14"/>
    <n v="150"/>
    <n v="960"/>
    <n v="770"/>
    <n v="498"/>
    <n v="291.46000000000004"/>
    <n v="285.74"/>
    <n v="0.64675324675324675"/>
    <n v="0.98037466547725249"/>
    <n v="0.58526104417670688"/>
    <n v="0.37109090909090914"/>
  </r>
  <r>
    <x v="227"/>
    <x v="4"/>
    <n v="1026"/>
    <n v="26"/>
    <n v="14"/>
    <n v="168"/>
    <n v="57"/>
    <n v="20"/>
    <n v="21"/>
    <n v="8"/>
    <n v="22"/>
    <n v="26"/>
    <m/>
    <n v="14"/>
    <n v="150"/>
    <n v="960"/>
    <n v="768"/>
    <n v="474"/>
    <n v="266.76"/>
    <n v="256.36"/>
    <n v="0.6171875"/>
    <n v="0.96101364522417154"/>
    <n v="0.56278481012658221"/>
    <n v="0.33380208333333328"/>
  </r>
  <r>
    <x v="228"/>
    <x v="1"/>
    <n v="1062"/>
    <n v="10"/>
    <n v="18"/>
    <n v="190"/>
    <n v="57"/>
    <n v="18"/>
    <n v="22"/>
    <n v="12"/>
    <n v="20"/>
    <n v="31"/>
    <m/>
    <n v="16"/>
    <n v="150"/>
    <n v="960"/>
    <n v="764"/>
    <n v="444"/>
    <n v="276.12"/>
    <n v="268.84000000000003"/>
    <n v="0.58115183246073299"/>
    <n v="0.97363465160075324"/>
    <n v="0.62189189189189187"/>
    <n v="0.35188481675392669"/>
  </r>
  <r>
    <x v="229"/>
    <x v="2"/>
    <n v="1030"/>
    <n v="17"/>
    <n v="14"/>
    <n v="136"/>
    <n v="62"/>
    <n v="17"/>
    <n v="13"/>
    <n v="11"/>
    <n v="16"/>
    <n v="34"/>
    <m/>
    <n v="13"/>
    <n v="150"/>
    <n v="960"/>
    <n v="769"/>
    <n v="508"/>
    <n v="267.8"/>
    <n v="259.74"/>
    <n v="0.66059817945383614"/>
    <n v="0.96990291262135919"/>
    <n v="0.52716535433070866"/>
    <n v="0.3377633289986996"/>
  </r>
  <r>
    <x v="230"/>
    <x v="3"/>
    <n v="1036"/>
    <n v="20"/>
    <n v="12"/>
    <n v="181"/>
    <n v="45"/>
    <n v="19"/>
    <n v="24"/>
    <n v="9"/>
    <n v="21"/>
    <n v="29"/>
    <n v="50"/>
    <n v="15"/>
    <n v="150"/>
    <n v="960"/>
    <n v="717"/>
    <n v="417"/>
    <n v="269.36"/>
    <n v="261.04000000000002"/>
    <n v="0.58158995815899583"/>
    <n v="0.96911196911196906"/>
    <n v="0.64594724220623501"/>
    <n v="0.36407252440725241"/>
  </r>
  <r>
    <x v="231"/>
    <x v="3"/>
    <n v="1073"/>
    <n v="30"/>
    <n v="19"/>
    <n v="148"/>
    <n v="55"/>
    <n v="20"/>
    <n v="23"/>
    <n v="10"/>
    <m/>
    <n v="30"/>
    <m/>
    <n v="14"/>
    <n v="150"/>
    <n v="960"/>
    <n v="766"/>
    <n v="510"/>
    <n v="278.98"/>
    <n v="266.24"/>
    <n v="0.66579634464751958"/>
    <n v="0.95433364398881637"/>
    <n v="0.5470196078431373"/>
    <n v="0.34757180156657969"/>
  </r>
  <r>
    <x v="232"/>
    <x v="3"/>
    <n v="1138"/>
    <n v="16"/>
    <n v="7"/>
    <n v="144"/>
    <n v="60"/>
    <n v="20"/>
    <n v="17"/>
    <n v="8"/>
    <m/>
    <n v="33"/>
    <m/>
    <n v="19"/>
    <n v="150"/>
    <n v="960"/>
    <n v="763"/>
    <n v="509"/>
    <n v="295.88"/>
    <n v="289.90000000000003"/>
    <n v="0.66710353866317174"/>
    <n v="0.97978910369068539"/>
    <n v="0.58129666011787817"/>
    <n v="0.3799475753604194"/>
  </r>
  <r>
    <x v="233"/>
    <x v="1"/>
    <n v="974"/>
    <n v="26"/>
    <n v="10"/>
    <n v="177"/>
    <n v="48"/>
    <n v="15"/>
    <n v="27"/>
    <n v="8"/>
    <n v="34"/>
    <n v="35"/>
    <m/>
    <n v="18"/>
    <n v="150"/>
    <n v="960"/>
    <n v="769"/>
    <n v="448"/>
    <n v="253.24"/>
    <n v="243.88"/>
    <n v="0.5825747724317295"/>
    <n v="0.96303901437371664"/>
    <n v="0.56526785714285721"/>
    <n v="0.31713914174252278"/>
  </r>
  <r>
    <x v="234"/>
    <x v="2"/>
    <n v="878"/>
    <n v="24"/>
    <n v="15"/>
    <n v="174"/>
    <n v="45"/>
    <n v="15"/>
    <n v="21"/>
    <n v="12"/>
    <n v="33"/>
    <n v="34"/>
    <m/>
    <n v="17"/>
    <n v="150"/>
    <n v="960"/>
    <n v="766"/>
    <n v="459"/>
    <n v="228.28"/>
    <n v="218.14000000000001"/>
    <n v="0.59921671018276768"/>
    <n v="0.95558086560364464"/>
    <n v="0.49734204793028325"/>
    <n v="0.2847780678851175"/>
  </r>
  <r>
    <x v="235"/>
    <x v="3"/>
    <n v="1057"/>
    <n v="18"/>
    <n v="24"/>
    <n v="190"/>
    <n v="51"/>
    <n v="15"/>
    <n v="15"/>
    <n v="10"/>
    <n v="27"/>
    <n v="27"/>
    <m/>
    <n v="15"/>
    <n v="150"/>
    <n v="960"/>
    <n v="770"/>
    <n v="460"/>
    <n v="274.82"/>
    <n v="263.90000000000003"/>
    <n v="0.59740259740259738"/>
    <n v="0.96026490066225167"/>
    <n v="0.59743478260869565"/>
    <n v="0.34272727272727277"/>
  </r>
  <r>
    <x v="236"/>
    <x v="4"/>
    <n v="1012"/>
    <n v="13"/>
    <n v="25"/>
    <n v="166"/>
    <n v="49"/>
    <n v="18"/>
    <n v="27"/>
    <n v="8"/>
    <n v="15"/>
    <n v="37"/>
    <m/>
    <n v="19"/>
    <n v="150"/>
    <n v="960"/>
    <n v="765"/>
    <n v="471"/>
    <n v="263.12"/>
    <n v="253.24"/>
    <n v="0.61568627450980395"/>
    <n v="0.96245059288537549"/>
    <n v="0.55864118895966031"/>
    <n v="0.3310326797385621"/>
  </r>
  <r>
    <x v="237"/>
    <x v="2"/>
    <n v="989"/>
    <n v="10"/>
    <n v="49"/>
    <n v="182"/>
    <n v="58"/>
    <n v="20"/>
    <n v="26"/>
    <n v="9"/>
    <n v="36"/>
    <n v="33"/>
    <m/>
    <n v="18"/>
    <n v="150"/>
    <n v="960"/>
    <n v="763"/>
    <n v="428"/>
    <n v="257.14"/>
    <n v="241.8"/>
    <n v="0.56094364351245085"/>
    <n v="0.94034378159757326"/>
    <n v="0.60079439252336442"/>
    <n v="0.31690694626474436"/>
  </r>
  <r>
    <x v="238"/>
    <x v="3"/>
    <n v="918"/>
    <n v="18"/>
    <n v="9"/>
    <n v="195"/>
    <n v="44"/>
    <n v="17"/>
    <n v="12"/>
    <n v="7"/>
    <n v="20"/>
    <n v="31"/>
    <m/>
    <n v="16"/>
    <n v="150"/>
    <n v="960"/>
    <n v="770"/>
    <n v="468"/>
    <n v="238.68"/>
    <n v="231.66"/>
    <n v="0.60779220779220777"/>
    <n v="0.97058823529411764"/>
    <n v="0.51"/>
    <n v="0.30085714285714288"/>
  </r>
  <r>
    <x v="239"/>
    <x v="1"/>
    <n v="1010"/>
    <n v="19"/>
    <n v="47"/>
    <n v="156"/>
    <n v="48"/>
    <n v="15"/>
    <n v="21"/>
    <n v="11"/>
    <n v="35"/>
    <n v="34"/>
    <m/>
    <n v="14"/>
    <n v="150"/>
    <n v="960"/>
    <n v="770"/>
    <n v="476"/>
    <n v="262.60000000000002"/>
    <n v="245.44"/>
    <n v="0.61818181818181817"/>
    <n v="0.93465346534653471"/>
    <n v="0.5516806722689076"/>
    <n v="0.31875324675324679"/>
  </r>
  <r>
    <x v="240"/>
    <x v="3"/>
    <n v="854"/>
    <n v="27"/>
    <n v="12"/>
    <n v="172"/>
    <n v="46"/>
    <n v="15"/>
    <n v="24"/>
    <n v="10"/>
    <n v="33"/>
    <n v="32"/>
    <n v="50"/>
    <n v="17"/>
    <n v="150"/>
    <n v="960"/>
    <n v="718"/>
    <n v="411"/>
    <n v="222.04000000000002"/>
    <n v="211.9"/>
    <n v="0.57242339832869082"/>
    <n v="0.95433255269320838"/>
    <n v="0.54024330900243311"/>
    <n v="0.29512534818941499"/>
  </r>
  <r>
    <x v="241"/>
    <x v="3"/>
    <n v="996"/>
    <n v="12"/>
    <n v="47"/>
    <n v="194"/>
    <n v="47"/>
    <n v="15"/>
    <n v="24"/>
    <n v="9"/>
    <m/>
    <n v="36"/>
    <m/>
    <n v="20"/>
    <n v="150"/>
    <n v="960"/>
    <n v="766"/>
    <n v="465"/>
    <n v="258.96000000000004"/>
    <n v="243.62"/>
    <n v="0.60704960835509136"/>
    <n v="0.94076305220883538"/>
    <n v="0.55690322580645168"/>
    <n v="0.31804177545691908"/>
  </r>
  <r>
    <x v="242"/>
    <x v="4"/>
    <n v="989"/>
    <n v="10"/>
    <n v="33"/>
    <n v="152"/>
    <n v="48"/>
    <n v="17"/>
    <n v="14"/>
    <n v="8"/>
    <n v="33"/>
    <n v="25"/>
    <m/>
    <n v="19"/>
    <n v="150"/>
    <n v="960"/>
    <n v="766"/>
    <n v="494"/>
    <n v="257.14"/>
    <n v="245.96"/>
    <n v="0.64490861618798956"/>
    <n v="0.95652173913043481"/>
    <n v="0.52052631578947361"/>
    <n v="0.3210966057441253"/>
  </r>
  <r>
    <x v="243"/>
    <x v="1"/>
    <n v="1091"/>
    <n v="22"/>
    <n v="19"/>
    <n v="173"/>
    <n v="64"/>
    <n v="19"/>
    <n v="22"/>
    <n v="10"/>
    <n v="39"/>
    <n v="28"/>
    <m/>
    <n v="18"/>
    <n v="150"/>
    <n v="960"/>
    <n v="763"/>
    <n v="437"/>
    <n v="283.66000000000003"/>
    <n v="273"/>
    <n v="0.57273918741808649"/>
    <n v="0.96241979835013747"/>
    <n v="0.64910755148741428"/>
    <n v="0.3577981651376147"/>
  </r>
  <r>
    <x v="244"/>
    <x v="3"/>
    <n v="1125"/>
    <n v="30"/>
    <n v="15"/>
    <n v="169"/>
    <n v="49"/>
    <n v="15"/>
    <n v="26"/>
    <n v="11"/>
    <n v="30"/>
    <n v="32"/>
    <m/>
    <n v="14"/>
    <n v="150"/>
    <n v="960"/>
    <n v="770"/>
    <n v="464"/>
    <n v="292.5"/>
    <n v="280.8"/>
    <n v="0.60259740259740258"/>
    <n v="0.96"/>
    <n v="0.63038793103448276"/>
    <n v="0.36467532467532471"/>
  </r>
  <r>
    <x v="245"/>
    <x v="2"/>
    <n v="1130"/>
    <n v="25"/>
    <n v="8"/>
    <n v="161"/>
    <n v="62"/>
    <n v="20"/>
    <n v="16"/>
    <n v="5"/>
    <n v="32"/>
    <n v="32"/>
    <m/>
    <n v="19"/>
    <n v="150"/>
    <n v="960"/>
    <n v="766"/>
    <n v="463"/>
    <n v="293.8"/>
    <n v="285.22000000000003"/>
    <n v="0.6044386422976501"/>
    <n v="0.97079646017699117"/>
    <n v="0.63455723542116638"/>
    <n v="0.37234986945169712"/>
  </r>
  <r>
    <x v="246"/>
    <x v="3"/>
    <n v="992"/>
    <n v="20"/>
    <n v="40"/>
    <n v="166"/>
    <n v="49"/>
    <n v="17"/>
    <n v="17"/>
    <n v="11"/>
    <n v="33"/>
    <n v="29"/>
    <m/>
    <n v="17"/>
    <n v="150"/>
    <n v="960"/>
    <n v="765"/>
    <n v="471"/>
    <n v="257.92"/>
    <n v="242.32000000000002"/>
    <n v="0.61568627450980395"/>
    <n v="0.93951612903225812"/>
    <n v="0.54760084925690022"/>
    <n v="0.31675816993464057"/>
  </r>
  <r>
    <x v="247"/>
    <x v="4"/>
    <n v="1112"/>
    <n v="28"/>
    <n v="34"/>
    <n v="176"/>
    <n v="60"/>
    <n v="20"/>
    <n v="18"/>
    <n v="8"/>
    <n v="37"/>
    <n v="32"/>
    <m/>
    <n v="16"/>
    <n v="150"/>
    <n v="960"/>
    <n v="766"/>
    <n v="443"/>
    <n v="289.12"/>
    <n v="273"/>
    <n v="0.57832898172323755"/>
    <n v="0.94424460431654678"/>
    <n v="0.65264108352144468"/>
    <n v="0.35639686684073102"/>
  </r>
  <r>
    <x v="248"/>
    <x v="3"/>
    <n v="1114"/>
    <n v="16"/>
    <n v="33"/>
    <n v="151"/>
    <n v="46"/>
    <n v="19"/>
    <n v="21"/>
    <n v="8"/>
    <n v="33"/>
    <n v="30"/>
    <m/>
    <n v="12"/>
    <n v="150"/>
    <n v="960"/>
    <n v="771"/>
    <n v="490"/>
    <n v="289.64"/>
    <n v="276.90000000000003"/>
    <n v="0.63553826199740593"/>
    <n v="0.95601436265709161"/>
    <n v="0.59110204081632656"/>
    <n v="0.35914396887159533"/>
  </r>
  <r>
    <x v="249"/>
    <x v="4"/>
    <n v="785"/>
    <n v="23"/>
    <n v="6"/>
    <n v="149"/>
    <n v="52"/>
    <n v="18"/>
    <n v="22"/>
    <n v="12"/>
    <n v="19"/>
    <n v="35"/>
    <m/>
    <n v="18"/>
    <n v="150"/>
    <n v="960"/>
    <n v="762"/>
    <n v="485"/>
    <n v="204.1"/>
    <n v="196.56"/>
    <n v="0.63648293963254599"/>
    <n v="0.96305732484076434"/>
    <n v="0.42082474226804123"/>
    <n v="0.25795275590551181"/>
  </r>
  <r>
    <x v="250"/>
    <x v="3"/>
    <n v="1001"/>
    <n v="11"/>
    <n v="29"/>
    <n v="139"/>
    <n v="60"/>
    <n v="19"/>
    <n v="24"/>
    <n v="11"/>
    <n v="22"/>
    <n v="31"/>
    <n v="50"/>
    <n v="16"/>
    <n v="150"/>
    <n v="960"/>
    <n v="714"/>
    <n v="438"/>
    <n v="260.26"/>
    <n v="249.86"/>
    <n v="0.61344537815126055"/>
    <n v="0.96003996003996006"/>
    <n v="0.59420091324200908"/>
    <n v="0.34994397759103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897E2-9516-4C72-AD9D-FE45FC10AEAF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R256:T273" firstHeaderRow="1" firstDataRow="1" firstDataCol="0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73"/>
  <sheetViews>
    <sheetView topLeftCell="K1" zoomScale="79" zoomScaleNormal="115" workbookViewId="0">
      <selection sqref="A1:X1"/>
    </sheetView>
  </sheetViews>
  <sheetFormatPr baseColWidth="10" defaultColWidth="11" defaultRowHeight="14.4" x14ac:dyDescent="0.3"/>
  <cols>
    <col min="1" max="1" width="23.6640625" style="2" customWidth="1"/>
    <col min="2" max="2" width="11" style="2" customWidth="1"/>
    <col min="3" max="3" width="16.6640625" style="2" bestFit="1" customWidth="1"/>
    <col min="4" max="4" width="15.44140625" style="10" bestFit="1" customWidth="1"/>
    <col min="5" max="5" width="18.88671875" style="10" bestFit="1" customWidth="1"/>
    <col min="6" max="6" width="15.33203125" style="9" customWidth="1"/>
    <col min="7" max="7" width="14.109375" style="9" bestFit="1" customWidth="1"/>
    <col min="8" max="8" width="21" style="7" customWidth="1"/>
    <col min="9" max="9" width="22.44140625" style="9" bestFit="1" customWidth="1"/>
    <col min="10" max="10" width="20.44140625" style="7" bestFit="1" customWidth="1"/>
    <col min="11" max="11" width="19.109375" style="9" bestFit="1" customWidth="1"/>
    <col min="12" max="12" width="25.5546875" style="9" bestFit="1" customWidth="1"/>
    <col min="13" max="13" width="23" style="7" bestFit="1" customWidth="1"/>
    <col min="14" max="14" width="13.88671875" style="7" customWidth="1"/>
    <col min="15" max="15" width="11" style="8"/>
    <col min="16" max="16" width="11" style="1"/>
    <col min="17" max="18" width="18.33203125" style="1" customWidth="1"/>
    <col min="19" max="19" width="11" style="1"/>
    <col min="20" max="20" width="18.5546875" style="1" customWidth="1"/>
    <col min="21" max="21" width="11" style="1"/>
    <col min="22" max="22" width="24.109375" style="1" customWidth="1"/>
    <col min="23" max="23" width="11" style="1"/>
    <col min="24" max="24" width="17.44140625" style="1" customWidth="1"/>
    <col min="25" max="25" width="11" style="1"/>
    <col min="26" max="26" width="23" style="1" bestFit="1" customWidth="1"/>
    <col min="27" max="27" width="19.88671875" style="1" bestFit="1" customWidth="1"/>
    <col min="28" max="28" width="14.5546875" style="1" bestFit="1" customWidth="1"/>
    <col min="29" max="29" width="11" style="1"/>
  </cols>
  <sheetData>
    <row r="1" spans="1:42" x14ac:dyDescent="0.3">
      <c r="A1" s="2" t="s">
        <v>28</v>
      </c>
      <c r="B1" s="2" t="s">
        <v>15</v>
      </c>
      <c r="C1" s="2" t="s">
        <v>27</v>
      </c>
      <c r="D1" s="10" t="s">
        <v>0</v>
      </c>
      <c r="E1" s="10" t="s">
        <v>6</v>
      </c>
      <c r="F1" s="9" t="s">
        <v>7</v>
      </c>
      <c r="G1" s="9" t="s">
        <v>8</v>
      </c>
      <c r="H1" s="7" t="s">
        <v>13</v>
      </c>
      <c r="I1" s="9" t="s">
        <v>9</v>
      </c>
      <c r="J1" s="7" t="s">
        <v>10</v>
      </c>
      <c r="K1" s="9" t="s">
        <v>11</v>
      </c>
      <c r="L1" s="9" t="s">
        <v>12</v>
      </c>
      <c r="M1" s="7" t="s">
        <v>14</v>
      </c>
      <c r="N1" s="7" t="s">
        <v>1</v>
      </c>
      <c r="O1" s="7" t="s">
        <v>16</v>
      </c>
      <c r="P1" s="17" t="s">
        <v>17</v>
      </c>
      <c r="Q1" s="17" t="s">
        <v>18</v>
      </c>
      <c r="R1" s="17" t="s">
        <v>20</v>
      </c>
      <c r="S1" s="17" t="s">
        <v>21</v>
      </c>
      <c r="T1" s="17" t="s">
        <v>22</v>
      </c>
      <c r="U1" s="17" t="s">
        <v>23</v>
      </c>
      <c r="V1" s="17" t="s">
        <v>24</v>
      </c>
      <c r="W1" s="17" t="s">
        <v>25</v>
      </c>
      <c r="X1" s="17" t="s">
        <v>26</v>
      </c>
      <c r="Y1" s="3"/>
      <c r="Z1" s="6"/>
      <c r="AA1" s="6"/>
      <c r="AB1" s="6"/>
      <c r="AC1" s="6"/>
      <c r="AD1" s="3"/>
      <c r="AE1" s="3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x14ac:dyDescent="0.3">
      <c r="A2" s="2">
        <v>1</v>
      </c>
      <c r="B2" s="2" t="s">
        <v>2</v>
      </c>
      <c r="C2" s="2">
        <v>1841</v>
      </c>
      <c r="D2" s="10">
        <v>18</v>
      </c>
      <c r="E2" s="10">
        <v>14</v>
      </c>
      <c r="F2" s="9">
        <v>112</v>
      </c>
      <c r="G2" s="9">
        <v>29</v>
      </c>
      <c r="H2" s="7">
        <v>15</v>
      </c>
      <c r="I2" s="9">
        <v>15</v>
      </c>
      <c r="J2" s="7">
        <v>12</v>
      </c>
      <c r="K2" s="9">
        <v>30</v>
      </c>
      <c r="L2" s="9">
        <v>32</v>
      </c>
      <c r="N2" s="7">
        <v>16</v>
      </c>
      <c r="O2" s="8">
        <f>37500/250</f>
        <v>150</v>
      </c>
      <c r="P2" s="1">
        <f>4000*60/250</f>
        <v>960</v>
      </c>
      <c r="Q2" s="1">
        <f>P2-H2-J2-M2-N2-O2</f>
        <v>767</v>
      </c>
      <c r="R2" s="2">
        <f>Q2-F2-G2-I2-K2-L2</f>
        <v>549</v>
      </c>
      <c r="S2" s="1">
        <f>C2*0.26</f>
        <v>478.66</v>
      </c>
      <c r="T2" s="1">
        <f>(C2-D2-E2)*0.26</f>
        <v>470.34000000000003</v>
      </c>
      <c r="U2" s="22">
        <f>R2/Q2</f>
        <v>0.71577574967405477</v>
      </c>
      <c r="V2" s="22">
        <f>(C2-D2-E2)/C2</f>
        <v>0.98261814231395983</v>
      </c>
      <c r="W2" s="22">
        <f>S2/R2</f>
        <v>0.87187613843351552</v>
      </c>
      <c r="X2" s="1">
        <f>U2*V2*W2</f>
        <v>0.61322033898305095</v>
      </c>
      <c r="Z2" s="5"/>
      <c r="AA2" s="5"/>
      <c r="AB2" s="5"/>
      <c r="AC2" s="5"/>
    </row>
    <row r="3" spans="1:42" x14ac:dyDescent="0.3">
      <c r="A3" s="2">
        <v>2</v>
      </c>
      <c r="B3" s="2" t="s">
        <v>4</v>
      </c>
      <c r="C3" s="2">
        <v>1755</v>
      </c>
      <c r="D3" s="10">
        <v>18</v>
      </c>
      <c r="E3" s="10">
        <v>28</v>
      </c>
      <c r="F3" s="9">
        <v>145</v>
      </c>
      <c r="G3" s="9">
        <v>29</v>
      </c>
      <c r="H3" s="7">
        <v>16</v>
      </c>
      <c r="I3" s="9">
        <v>18</v>
      </c>
      <c r="J3" s="7">
        <v>10</v>
      </c>
      <c r="K3" s="9">
        <v>30</v>
      </c>
      <c r="L3" s="9">
        <v>32</v>
      </c>
      <c r="N3" s="7">
        <v>17</v>
      </c>
      <c r="O3" s="8">
        <f t="shared" ref="O3:O66" si="0">37500/250</f>
        <v>150</v>
      </c>
      <c r="P3" s="1">
        <f t="shared" ref="P3:P66" si="1">4000*60/250</f>
        <v>960</v>
      </c>
      <c r="Q3" s="1">
        <f t="shared" ref="Q3:Q66" si="2">P3-H3-J3-M3-N3-O3</f>
        <v>767</v>
      </c>
      <c r="R3" s="2">
        <f t="shared" ref="R3:R66" si="3">Q3-F3-G3-I3-K3-L3</f>
        <v>513</v>
      </c>
      <c r="S3" s="1">
        <f t="shared" ref="S3:S66" si="4">C3*0.26</f>
        <v>456.3</v>
      </c>
      <c r="T3" s="1">
        <f t="shared" ref="T3:T66" si="5">(C3-D3-E3)*0.26</f>
        <v>444.34000000000003</v>
      </c>
      <c r="U3" s="22">
        <f t="shared" ref="U3:U66" si="6">R3/Q3</f>
        <v>0.66883963494132981</v>
      </c>
      <c r="V3" s="22">
        <f t="shared" ref="V3:V66" si="7">(C3-D3-E3)/C3</f>
        <v>0.97378917378917373</v>
      </c>
      <c r="W3" s="22">
        <f t="shared" ref="W3:W66" si="8">S3/R3</f>
        <v>0.88947368421052631</v>
      </c>
      <c r="X3" s="1">
        <f t="shared" ref="X3:X66" si="9">U3*V3*W3</f>
        <v>0.57932203389830506</v>
      </c>
      <c r="Z3" s="5"/>
      <c r="AA3" s="5"/>
      <c r="AB3" s="5"/>
      <c r="AC3" s="5"/>
    </row>
    <row r="4" spans="1:42" x14ac:dyDescent="0.3">
      <c r="A4" s="2">
        <v>3</v>
      </c>
      <c r="B4" s="2" t="s">
        <v>3</v>
      </c>
      <c r="C4" s="2">
        <v>1739</v>
      </c>
      <c r="D4" s="10">
        <v>28</v>
      </c>
      <c r="E4" s="10">
        <v>29</v>
      </c>
      <c r="F4" s="9">
        <v>110</v>
      </c>
      <c r="G4" s="9">
        <v>24</v>
      </c>
      <c r="H4" s="7">
        <v>18</v>
      </c>
      <c r="I4" s="9">
        <v>11</v>
      </c>
      <c r="J4" s="7">
        <v>8</v>
      </c>
      <c r="K4" s="9">
        <v>32</v>
      </c>
      <c r="L4" s="9">
        <v>33</v>
      </c>
      <c r="N4" s="7">
        <v>17</v>
      </c>
      <c r="O4" s="8">
        <f t="shared" si="0"/>
        <v>150</v>
      </c>
      <c r="P4" s="1">
        <f t="shared" si="1"/>
        <v>960</v>
      </c>
      <c r="Q4" s="1">
        <f t="shared" si="2"/>
        <v>767</v>
      </c>
      <c r="R4" s="2">
        <f t="shared" si="3"/>
        <v>557</v>
      </c>
      <c r="S4" s="1">
        <f t="shared" si="4"/>
        <v>452.14000000000004</v>
      </c>
      <c r="T4" s="1">
        <f t="shared" si="5"/>
        <v>437.32</v>
      </c>
      <c r="U4" s="22">
        <f t="shared" si="6"/>
        <v>0.72620599739243807</v>
      </c>
      <c r="V4" s="22">
        <f t="shared" si="7"/>
        <v>0.96722254169062682</v>
      </c>
      <c r="W4" s="22">
        <f t="shared" si="8"/>
        <v>0.81174147217235193</v>
      </c>
      <c r="X4" s="1">
        <f t="shared" si="9"/>
        <v>0.57016949152542373</v>
      </c>
      <c r="Z4" s="5"/>
      <c r="AA4" s="5"/>
      <c r="AB4" s="5"/>
      <c r="AC4" s="5"/>
    </row>
    <row r="5" spans="1:42" x14ac:dyDescent="0.3">
      <c r="A5" s="2">
        <v>4</v>
      </c>
      <c r="B5" s="2" t="s">
        <v>5</v>
      </c>
      <c r="C5" s="2">
        <v>1802</v>
      </c>
      <c r="D5" s="10">
        <v>14</v>
      </c>
      <c r="E5" s="10">
        <v>21</v>
      </c>
      <c r="F5" s="9">
        <v>107</v>
      </c>
      <c r="G5" s="9">
        <v>30</v>
      </c>
      <c r="H5" s="7">
        <v>16</v>
      </c>
      <c r="I5" s="9">
        <v>21</v>
      </c>
      <c r="J5" s="7">
        <v>8</v>
      </c>
      <c r="K5" s="9">
        <v>28</v>
      </c>
      <c r="L5" s="9">
        <v>35</v>
      </c>
      <c r="N5" s="7">
        <v>17</v>
      </c>
      <c r="O5" s="8">
        <f t="shared" si="0"/>
        <v>150</v>
      </c>
      <c r="P5" s="1">
        <f t="shared" si="1"/>
        <v>960</v>
      </c>
      <c r="Q5" s="1">
        <f t="shared" si="2"/>
        <v>769</v>
      </c>
      <c r="R5" s="2">
        <f t="shared" si="3"/>
        <v>548</v>
      </c>
      <c r="S5" s="1">
        <f t="shared" si="4"/>
        <v>468.52000000000004</v>
      </c>
      <c r="T5" s="1">
        <f t="shared" si="5"/>
        <v>459.42</v>
      </c>
      <c r="U5" s="22">
        <f t="shared" si="6"/>
        <v>0.71261378413524057</v>
      </c>
      <c r="V5" s="22">
        <f t="shared" si="7"/>
        <v>0.98057713651498335</v>
      </c>
      <c r="W5" s="22">
        <f t="shared" si="8"/>
        <v>0.85496350364963514</v>
      </c>
      <c r="X5" s="1">
        <f t="shared" si="9"/>
        <v>0.59742522756827054</v>
      </c>
      <c r="Z5" s="5"/>
      <c r="AA5" s="5"/>
      <c r="AB5" s="5"/>
      <c r="AC5" s="5"/>
    </row>
    <row r="6" spans="1:42" x14ac:dyDescent="0.3">
      <c r="A6" s="2">
        <v>5</v>
      </c>
      <c r="B6" s="2" t="s">
        <v>2</v>
      </c>
      <c r="C6" s="2">
        <v>1716</v>
      </c>
      <c r="D6" s="10">
        <v>23</v>
      </c>
      <c r="E6" s="10">
        <v>23</v>
      </c>
      <c r="F6" s="9">
        <v>134</v>
      </c>
      <c r="G6" s="9">
        <v>41</v>
      </c>
      <c r="H6" s="7">
        <v>17</v>
      </c>
      <c r="I6" s="9">
        <v>13</v>
      </c>
      <c r="J6" s="7">
        <v>11</v>
      </c>
      <c r="K6" s="9">
        <v>31</v>
      </c>
      <c r="L6" s="9">
        <v>37</v>
      </c>
      <c r="N6" s="7">
        <v>14</v>
      </c>
      <c r="O6" s="8">
        <f t="shared" si="0"/>
        <v>150</v>
      </c>
      <c r="P6" s="1">
        <f t="shared" si="1"/>
        <v>960</v>
      </c>
      <c r="Q6" s="1">
        <f t="shared" si="2"/>
        <v>768</v>
      </c>
      <c r="R6" s="2">
        <f t="shared" si="3"/>
        <v>512</v>
      </c>
      <c r="S6" s="1">
        <f t="shared" si="4"/>
        <v>446.16</v>
      </c>
      <c r="T6" s="1">
        <f t="shared" si="5"/>
        <v>434.2</v>
      </c>
      <c r="U6" s="22">
        <f t="shared" si="6"/>
        <v>0.66666666666666663</v>
      </c>
      <c r="V6" s="22">
        <f t="shared" si="7"/>
        <v>0.97319347319347316</v>
      </c>
      <c r="W6" s="22">
        <f t="shared" si="8"/>
        <v>0.87140625000000005</v>
      </c>
      <c r="X6" s="1">
        <f t="shared" si="9"/>
        <v>0.56536458333333339</v>
      </c>
      <c r="Z6" s="5"/>
      <c r="AA6" s="5"/>
      <c r="AB6" s="5"/>
      <c r="AC6" s="5"/>
    </row>
    <row r="7" spans="1:42" x14ac:dyDescent="0.3">
      <c r="A7" s="2">
        <v>6</v>
      </c>
      <c r="B7" s="2" t="s">
        <v>3</v>
      </c>
      <c r="C7" s="2">
        <v>1872</v>
      </c>
      <c r="D7" s="10">
        <v>16</v>
      </c>
      <c r="E7" s="10">
        <v>40</v>
      </c>
      <c r="F7" s="9">
        <v>133</v>
      </c>
      <c r="G7" s="9">
        <v>26</v>
      </c>
      <c r="H7" s="7">
        <v>18</v>
      </c>
      <c r="I7" s="9">
        <v>11</v>
      </c>
      <c r="J7" s="7">
        <v>10</v>
      </c>
      <c r="K7" s="9">
        <v>31</v>
      </c>
      <c r="L7" s="9">
        <v>34</v>
      </c>
      <c r="N7" s="7">
        <v>14</v>
      </c>
      <c r="O7" s="8">
        <f t="shared" si="0"/>
        <v>150</v>
      </c>
      <c r="P7" s="1">
        <f t="shared" si="1"/>
        <v>960</v>
      </c>
      <c r="Q7" s="1">
        <f t="shared" si="2"/>
        <v>768</v>
      </c>
      <c r="R7" s="2">
        <f t="shared" si="3"/>
        <v>533</v>
      </c>
      <c r="S7" s="1">
        <f t="shared" si="4"/>
        <v>486.72</v>
      </c>
      <c r="T7" s="1">
        <f t="shared" si="5"/>
        <v>472.16</v>
      </c>
      <c r="U7" s="22">
        <f t="shared" si="6"/>
        <v>0.69401041666666663</v>
      </c>
      <c r="V7" s="22">
        <f t="shared" si="7"/>
        <v>0.97008547008547008</v>
      </c>
      <c r="W7" s="22">
        <f t="shared" si="8"/>
        <v>0.91317073170731711</v>
      </c>
      <c r="X7" s="1">
        <f t="shared" si="9"/>
        <v>0.61479166666666663</v>
      </c>
      <c r="Z7" s="5"/>
      <c r="AA7" s="5"/>
      <c r="AB7" s="5"/>
      <c r="AC7" s="5"/>
    </row>
    <row r="8" spans="1:42" x14ac:dyDescent="0.3">
      <c r="A8" s="2">
        <v>7</v>
      </c>
      <c r="B8" s="2" t="s">
        <v>3</v>
      </c>
      <c r="C8" s="2">
        <v>1847</v>
      </c>
      <c r="D8" s="10">
        <v>14</v>
      </c>
      <c r="E8" s="10">
        <v>14</v>
      </c>
      <c r="F8" s="9">
        <v>124</v>
      </c>
      <c r="G8" s="9">
        <v>17</v>
      </c>
      <c r="H8" s="7">
        <v>16</v>
      </c>
      <c r="I8" s="9">
        <v>16</v>
      </c>
      <c r="J8" s="7">
        <v>8</v>
      </c>
      <c r="L8" s="9">
        <v>28</v>
      </c>
      <c r="N8" s="7">
        <v>15</v>
      </c>
      <c r="O8" s="8">
        <f t="shared" si="0"/>
        <v>150</v>
      </c>
      <c r="P8" s="1">
        <f t="shared" si="1"/>
        <v>960</v>
      </c>
      <c r="Q8" s="1">
        <f t="shared" si="2"/>
        <v>771</v>
      </c>
      <c r="R8" s="2">
        <f t="shared" si="3"/>
        <v>586</v>
      </c>
      <c r="S8" s="1">
        <f t="shared" si="4"/>
        <v>480.22</v>
      </c>
      <c r="T8" s="1">
        <f t="shared" si="5"/>
        <v>472.94</v>
      </c>
      <c r="U8" s="22">
        <f t="shared" si="6"/>
        <v>0.76005188067444873</v>
      </c>
      <c r="V8" s="22">
        <f t="shared" si="7"/>
        <v>0.98484028153762859</v>
      </c>
      <c r="W8" s="22">
        <f t="shared" si="8"/>
        <v>0.81948805460750862</v>
      </c>
      <c r="X8" s="1">
        <f t="shared" si="9"/>
        <v>0.61341115434500659</v>
      </c>
      <c r="Z8" s="5"/>
      <c r="AA8" s="5"/>
      <c r="AB8" s="5"/>
      <c r="AC8" s="5"/>
    </row>
    <row r="9" spans="1:42" x14ac:dyDescent="0.3">
      <c r="A9" s="2">
        <v>8</v>
      </c>
      <c r="B9" s="2" t="s">
        <v>5</v>
      </c>
      <c r="C9" s="2">
        <v>1877</v>
      </c>
      <c r="D9" s="10">
        <v>10</v>
      </c>
      <c r="E9" s="10">
        <v>39</v>
      </c>
      <c r="F9" s="9">
        <v>119</v>
      </c>
      <c r="G9" s="9">
        <v>25</v>
      </c>
      <c r="H9" s="7">
        <v>17</v>
      </c>
      <c r="I9" s="9">
        <v>17</v>
      </c>
      <c r="J9" s="7">
        <v>9</v>
      </c>
      <c r="K9" s="9">
        <v>20</v>
      </c>
      <c r="L9" s="9">
        <v>31</v>
      </c>
      <c r="N9" s="7">
        <v>17</v>
      </c>
      <c r="O9" s="8">
        <f t="shared" si="0"/>
        <v>150</v>
      </c>
      <c r="P9" s="1">
        <f t="shared" si="1"/>
        <v>960</v>
      </c>
      <c r="Q9" s="1">
        <f t="shared" si="2"/>
        <v>767</v>
      </c>
      <c r="R9" s="2">
        <f t="shared" si="3"/>
        <v>555</v>
      </c>
      <c r="S9" s="1">
        <f t="shared" si="4"/>
        <v>488.02000000000004</v>
      </c>
      <c r="T9" s="1">
        <f t="shared" si="5"/>
        <v>475.28000000000003</v>
      </c>
      <c r="U9" s="22">
        <f t="shared" si="6"/>
        <v>0.72359843546284219</v>
      </c>
      <c r="V9" s="22">
        <f t="shared" si="7"/>
        <v>0.97389451251997872</v>
      </c>
      <c r="W9" s="22">
        <f t="shared" si="8"/>
        <v>0.87931531531531537</v>
      </c>
      <c r="X9" s="1">
        <f t="shared" si="9"/>
        <v>0.61966101694915254</v>
      </c>
      <c r="Z9" s="5"/>
      <c r="AA9" s="5"/>
      <c r="AB9" s="5"/>
      <c r="AC9" s="5"/>
    </row>
    <row r="10" spans="1:42" x14ac:dyDescent="0.3">
      <c r="A10" s="2">
        <v>9</v>
      </c>
      <c r="B10" s="2" t="s">
        <v>2</v>
      </c>
      <c r="C10" s="2">
        <v>1788</v>
      </c>
      <c r="D10" s="10">
        <v>18</v>
      </c>
      <c r="E10" s="10">
        <v>50</v>
      </c>
      <c r="F10" s="9">
        <v>140</v>
      </c>
      <c r="G10" s="9">
        <v>29</v>
      </c>
      <c r="H10" s="7">
        <v>16</v>
      </c>
      <c r="I10" s="9">
        <v>14</v>
      </c>
      <c r="J10" s="7">
        <v>12</v>
      </c>
      <c r="K10" s="9">
        <v>28</v>
      </c>
      <c r="L10" s="9">
        <v>29</v>
      </c>
      <c r="N10" s="7">
        <v>19</v>
      </c>
      <c r="O10" s="8">
        <f t="shared" si="0"/>
        <v>150</v>
      </c>
      <c r="P10" s="1">
        <f t="shared" si="1"/>
        <v>960</v>
      </c>
      <c r="Q10" s="1">
        <f t="shared" si="2"/>
        <v>763</v>
      </c>
      <c r="R10" s="2">
        <f t="shared" si="3"/>
        <v>523</v>
      </c>
      <c r="S10" s="1">
        <f t="shared" si="4"/>
        <v>464.88</v>
      </c>
      <c r="T10" s="1">
        <f t="shared" si="5"/>
        <v>447.2</v>
      </c>
      <c r="U10" s="22">
        <f t="shared" si="6"/>
        <v>0.68545216251638275</v>
      </c>
      <c r="V10" s="22">
        <f t="shared" si="7"/>
        <v>0.96196868008948544</v>
      </c>
      <c r="W10" s="22">
        <f t="shared" si="8"/>
        <v>0.88887189292543023</v>
      </c>
      <c r="X10" s="1">
        <f t="shared" si="9"/>
        <v>0.58610747051114021</v>
      </c>
      <c r="Z10" s="5"/>
      <c r="AA10" s="5"/>
      <c r="AB10" s="5"/>
      <c r="AC10" s="5"/>
    </row>
    <row r="11" spans="1:42" x14ac:dyDescent="0.3">
      <c r="A11" s="2">
        <v>10</v>
      </c>
      <c r="B11" s="2" t="s">
        <v>4</v>
      </c>
      <c r="C11" s="2">
        <v>1781</v>
      </c>
      <c r="D11" s="10">
        <v>18</v>
      </c>
      <c r="E11" s="10">
        <v>43</v>
      </c>
      <c r="F11" s="9">
        <v>87</v>
      </c>
      <c r="G11" s="9">
        <v>21</v>
      </c>
      <c r="H11" s="7">
        <v>20</v>
      </c>
      <c r="I11" s="9">
        <v>12</v>
      </c>
      <c r="J11" s="7">
        <v>9</v>
      </c>
      <c r="K11" s="9">
        <v>15</v>
      </c>
      <c r="L11" s="9">
        <v>29</v>
      </c>
      <c r="M11" s="7">
        <v>20</v>
      </c>
      <c r="N11" s="7">
        <v>15</v>
      </c>
      <c r="O11" s="8">
        <f t="shared" si="0"/>
        <v>150</v>
      </c>
      <c r="P11" s="1">
        <f t="shared" si="1"/>
        <v>960</v>
      </c>
      <c r="Q11" s="1">
        <f t="shared" si="2"/>
        <v>746</v>
      </c>
      <c r="R11" s="2">
        <f t="shared" si="3"/>
        <v>582</v>
      </c>
      <c r="S11" s="1">
        <f t="shared" si="4"/>
        <v>463.06</v>
      </c>
      <c r="T11" s="1">
        <f t="shared" si="5"/>
        <v>447.2</v>
      </c>
      <c r="U11" s="22">
        <f t="shared" si="6"/>
        <v>0.78016085790884715</v>
      </c>
      <c r="V11" s="22">
        <f t="shared" si="7"/>
        <v>0.96574957888826507</v>
      </c>
      <c r="W11" s="22">
        <f t="shared" si="8"/>
        <v>0.79563573883161509</v>
      </c>
      <c r="X11" s="1">
        <f t="shared" si="9"/>
        <v>0.59946380697050938</v>
      </c>
      <c r="Z11" s="5"/>
      <c r="AA11" s="5"/>
      <c r="AB11" s="5"/>
      <c r="AC11" s="5"/>
    </row>
    <row r="12" spans="1:42" x14ac:dyDescent="0.3">
      <c r="A12" s="2">
        <v>11</v>
      </c>
      <c r="B12" s="2" t="s">
        <v>3</v>
      </c>
      <c r="C12" s="2">
        <v>1872</v>
      </c>
      <c r="D12" s="10">
        <v>27</v>
      </c>
      <c r="E12" s="10">
        <v>37</v>
      </c>
      <c r="F12" s="9">
        <v>118</v>
      </c>
      <c r="G12" s="9">
        <v>37</v>
      </c>
      <c r="H12" s="7">
        <v>16</v>
      </c>
      <c r="I12" s="9">
        <v>14</v>
      </c>
      <c r="J12" s="7">
        <v>8</v>
      </c>
      <c r="K12" s="9">
        <v>19</v>
      </c>
      <c r="L12" s="9">
        <v>25</v>
      </c>
      <c r="N12" s="7">
        <v>13</v>
      </c>
      <c r="O12" s="8">
        <f t="shared" si="0"/>
        <v>150</v>
      </c>
      <c r="P12" s="1">
        <f t="shared" si="1"/>
        <v>960</v>
      </c>
      <c r="Q12" s="1">
        <f t="shared" si="2"/>
        <v>773</v>
      </c>
      <c r="R12" s="2">
        <f t="shared" si="3"/>
        <v>560</v>
      </c>
      <c r="S12" s="1">
        <f t="shared" si="4"/>
        <v>486.72</v>
      </c>
      <c r="T12" s="1">
        <f t="shared" si="5"/>
        <v>470.08000000000004</v>
      </c>
      <c r="U12" s="22">
        <f t="shared" si="6"/>
        <v>0.72445019404915911</v>
      </c>
      <c r="V12" s="22">
        <f t="shared" si="7"/>
        <v>0.96581196581196582</v>
      </c>
      <c r="W12" s="22">
        <f t="shared" si="8"/>
        <v>0.86914285714285722</v>
      </c>
      <c r="X12" s="1">
        <f t="shared" si="9"/>
        <v>0.60812419146183705</v>
      </c>
      <c r="Z12" s="5"/>
      <c r="AA12" s="5"/>
      <c r="AB12" s="5"/>
      <c r="AC12" s="5"/>
    </row>
    <row r="13" spans="1:42" x14ac:dyDescent="0.3">
      <c r="A13" s="2">
        <v>12</v>
      </c>
      <c r="B13" s="2" t="s">
        <v>5</v>
      </c>
      <c r="C13" s="2">
        <v>1915</v>
      </c>
      <c r="D13" s="10">
        <v>13</v>
      </c>
      <c r="E13" s="10">
        <v>50</v>
      </c>
      <c r="F13" s="9">
        <v>126</v>
      </c>
      <c r="G13" s="9">
        <v>30</v>
      </c>
      <c r="H13" s="7">
        <v>16</v>
      </c>
      <c r="I13" s="9">
        <v>18</v>
      </c>
      <c r="J13" s="7">
        <v>8</v>
      </c>
      <c r="K13" s="9">
        <v>23</v>
      </c>
      <c r="L13" s="9">
        <v>35</v>
      </c>
      <c r="N13" s="7">
        <v>16</v>
      </c>
      <c r="O13" s="8">
        <f t="shared" si="0"/>
        <v>150</v>
      </c>
      <c r="P13" s="1">
        <f t="shared" si="1"/>
        <v>960</v>
      </c>
      <c r="Q13" s="1">
        <f t="shared" si="2"/>
        <v>770</v>
      </c>
      <c r="R13" s="2">
        <f t="shared" si="3"/>
        <v>538</v>
      </c>
      <c r="S13" s="1">
        <f t="shared" si="4"/>
        <v>497.90000000000003</v>
      </c>
      <c r="T13" s="1">
        <f t="shared" si="5"/>
        <v>481.52000000000004</v>
      </c>
      <c r="U13" s="22">
        <f t="shared" si="6"/>
        <v>0.69870129870129871</v>
      </c>
      <c r="V13" s="22">
        <f t="shared" si="7"/>
        <v>0.9671018276762402</v>
      </c>
      <c r="W13" s="22">
        <f t="shared" si="8"/>
        <v>0.92546468401486992</v>
      </c>
      <c r="X13" s="1">
        <f t="shared" si="9"/>
        <v>0.62535064935064932</v>
      </c>
      <c r="Z13" s="5"/>
      <c r="AA13" s="5"/>
      <c r="AB13" s="5"/>
      <c r="AC13" s="5"/>
    </row>
    <row r="14" spans="1:42" x14ac:dyDescent="0.3">
      <c r="A14" s="2">
        <v>13</v>
      </c>
      <c r="B14" s="2" t="s">
        <v>3</v>
      </c>
      <c r="C14" s="2">
        <v>1726</v>
      </c>
      <c r="D14" s="10">
        <v>12</v>
      </c>
      <c r="E14" s="10">
        <v>6</v>
      </c>
      <c r="F14" s="9">
        <v>143</v>
      </c>
      <c r="G14" s="9">
        <v>37</v>
      </c>
      <c r="H14" s="7">
        <v>20</v>
      </c>
      <c r="I14" s="9">
        <v>17</v>
      </c>
      <c r="J14" s="7">
        <v>6</v>
      </c>
      <c r="K14" s="9">
        <v>23</v>
      </c>
      <c r="L14" s="9">
        <v>32</v>
      </c>
      <c r="N14" s="7">
        <v>15</v>
      </c>
      <c r="O14" s="8">
        <f t="shared" si="0"/>
        <v>150</v>
      </c>
      <c r="P14" s="1">
        <f t="shared" si="1"/>
        <v>960</v>
      </c>
      <c r="Q14" s="1">
        <f t="shared" si="2"/>
        <v>769</v>
      </c>
      <c r="R14" s="2">
        <f t="shared" si="3"/>
        <v>517</v>
      </c>
      <c r="S14" s="1">
        <f t="shared" si="4"/>
        <v>448.76</v>
      </c>
      <c r="T14" s="1">
        <f t="shared" si="5"/>
        <v>444.08000000000004</v>
      </c>
      <c r="U14" s="22">
        <f t="shared" si="6"/>
        <v>0.67230169050715216</v>
      </c>
      <c r="V14" s="22">
        <f t="shared" si="7"/>
        <v>0.98957126303592124</v>
      </c>
      <c r="W14" s="22">
        <f t="shared" si="8"/>
        <v>0.86800773694390709</v>
      </c>
      <c r="X14" s="1">
        <f t="shared" si="9"/>
        <v>0.5774772431729519</v>
      </c>
      <c r="Z14" s="5"/>
      <c r="AA14" s="5"/>
      <c r="AB14" s="5"/>
      <c r="AC14" s="5"/>
    </row>
    <row r="15" spans="1:42" x14ac:dyDescent="0.3">
      <c r="A15" s="2">
        <v>14</v>
      </c>
      <c r="B15" s="2" t="s">
        <v>5</v>
      </c>
      <c r="C15" s="2">
        <v>1861</v>
      </c>
      <c r="D15" s="10">
        <v>27</v>
      </c>
      <c r="E15" s="10">
        <v>49</v>
      </c>
      <c r="F15" s="9">
        <v>118</v>
      </c>
      <c r="G15" s="9">
        <v>31</v>
      </c>
      <c r="H15" s="7">
        <v>15</v>
      </c>
      <c r="I15" s="9">
        <v>17</v>
      </c>
      <c r="J15" s="7">
        <v>12</v>
      </c>
      <c r="K15" s="9">
        <v>28</v>
      </c>
      <c r="L15" s="9">
        <v>27</v>
      </c>
      <c r="N15" s="7">
        <v>16</v>
      </c>
      <c r="O15" s="8">
        <f t="shared" si="0"/>
        <v>150</v>
      </c>
      <c r="P15" s="1">
        <f t="shared" si="1"/>
        <v>960</v>
      </c>
      <c r="Q15" s="1">
        <f t="shared" si="2"/>
        <v>767</v>
      </c>
      <c r="R15" s="2">
        <f t="shared" si="3"/>
        <v>546</v>
      </c>
      <c r="S15" s="1">
        <f t="shared" si="4"/>
        <v>483.86</v>
      </c>
      <c r="T15" s="1">
        <f t="shared" si="5"/>
        <v>464.1</v>
      </c>
      <c r="U15" s="22">
        <f t="shared" si="6"/>
        <v>0.71186440677966101</v>
      </c>
      <c r="V15" s="22">
        <f t="shared" si="7"/>
        <v>0.95916174099946261</v>
      </c>
      <c r="W15" s="22">
        <f t="shared" si="8"/>
        <v>0.8861904761904762</v>
      </c>
      <c r="X15" s="1">
        <f t="shared" si="9"/>
        <v>0.60508474576271176</v>
      </c>
      <c r="Z15" s="5"/>
      <c r="AA15" s="5"/>
      <c r="AB15" s="5"/>
      <c r="AC15" s="5"/>
    </row>
    <row r="16" spans="1:42" x14ac:dyDescent="0.3">
      <c r="A16" s="2">
        <v>15</v>
      </c>
      <c r="B16" s="2" t="s">
        <v>2</v>
      </c>
      <c r="C16" s="2">
        <v>1867</v>
      </c>
      <c r="D16" s="10">
        <v>25</v>
      </c>
      <c r="E16" s="10">
        <v>47</v>
      </c>
      <c r="F16" s="9">
        <v>119</v>
      </c>
      <c r="G16" s="9">
        <v>31</v>
      </c>
      <c r="H16" s="7">
        <v>20</v>
      </c>
      <c r="I16" s="9">
        <v>21</v>
      </c>
      <c r="J16" s="7">
        <v>6</v>
      </c>
      <c r="K16" s="9">
        <v>30</v>
      </c>
      <c r="L16" s="9">
        <v>34</v>
      </c>
      <c r="N16" s="7">
        <v>15</v>
      </c>
      <c r="O16" s="8">
        <f t="shared" si="0"/>
        <v>150</v>
      </c>
      <c r="P16" s="1">
        <f t="shared" si="1"/>
        <v>960</v>
      </c>
      <c r="Q16" s="1">
        <f t="shared" si="2"/>
        <v>769</v>
      </c>
      <c r="R16" s="2">
        <f t="shared" si="3"/>
        <v>534</v>
      </c>
      <c r="S16" s="1">
        <f t="shared" si="4"/>
        <v>485.42</v>
      </c>
      <c r="T16" s="1">
        <f t="shared" si="5"/>
        <v>466.7</v>
      </c>
      <c r="U16" s="22">
        <f t="shared" si="6"/>
        <v>0.694408322496749</v>
      </c>
      <c r="V16" s="22">
        <f t="shared" si="7"/>
        <v>0.96143545795393681</v>
      </c>
      <c r="W16" s="22">
        <f t="shared" si="8"/>
        <v>0.90902621722846444</v>
      </c>
      <c r="X16" s="1">
        <f t="shared" si="9"/>
        <v>0.60689206762028602</v>
      </c>
      <c r="Z16" s="5"/>
      <c r="AA16" s="5"/>
      <c r="AB16" s="5"/>
      <c r="AC16" s="5"/>
    </row>
    <row r="17" spans="1:29" x14ac:dyDescent="0.3">
      <c r="A17" s="2">
        <v>16</v>
      </c>
      <c r="B17" s="2" t="s">
        <v>4</v>
      </c>
      <c r="C17" s="2">
        <v>1677</v>
      </c>
      <c r="D17" s="10">
        <v>26</v>
      </c>
      <c r="E17" s="10">
        <v>20</v>
      </c>
      <c r="F17" s="9">
        <v>99</v>
      </c>
      <c r="G17" s="9">
        <v>31</v>
      </c>
      <c r="H17" s="7">
        <v>17</v>
      </c>
      <c r="I17" s="9">
        <v>21</v>
      </c>
      <c r="J17" s="7">
        <v>13</v>
      </c>
      <c r="K17" s="9">
        <v>19</v>
      </c>
      <c r="L17" s="9">
        <v>34</v>
      </c>
      <c r="N17" s="7">
        <v>15</v>
      </c>
      <c r="O17" s="8">
        <f t="shared" si="0"/>
        <v>150</v>
      </c>
      <c r="P17" s="1">
        <f t="shared" si="1"/>
        <v>960</v>
      </c>
      <c r="Q17" s="1">
        <f t="shared" si="2"/>
        <v>765</v>
      </c>
      <c r="R17" s="2">
        <f t="shared" si="3"/>
        <v>561</v>
      </c>
      <c r="S17" s="1">
        <f t="shared" si="4"/>
        <v>436.02000000000004</v>
      </c>
      <c r="T17" s="1">
        <f t="shared" si="5"/>
        <v>424.06</v>
      </c>
      <c r="U17" s="22">
        <f t="shared" si="6"/>
        <v>0.73333333333333328</v>
      </c>
      <c r="V17" s="22">
        <f t="shared" si="7"/>
        <v>0.97257006559332138</v>
      </c>
      <c r="W17" s="22">
        <f t="shared" si="8"/>
        <v>0.77721925133689851</v>
      </c>
      <c r="X17" s="1">
        <f t="shared" si="9"/>
        <v>0.55432679738562096</v>
      </c>
      <c r="Z17" s="5"/>
      <c r="AA17" s="5"/>
      <c r="AB17" s="5"/>
      <c r="AC17" s="5"/>
    </row>
    <row r="18" spans="1:29" x14ac:dyDescent="0.3">
      <c r="A18" s="2">
        <v>17</v>
      </c>
      <c r="B18" s="2" t="s">
        <v>3</v>
      </c>
      <c r="C18" s="2">
        <v>1725</v>
      </c>
      <c r="D18" s="10">
        <v>30</v>
      </c>
      <c r="E18" s="10">
        <v>18</v>
      </c>
      <c r="F18" s="9">
        <v>119</v>
      </c>
      <c r="G18" s="9">
        <v>32</v>
      </c>
      <c r="H18" s="7">
        <v>17</v>
      </c>
      <c r="I18" s="9">
        <v>18</v>
      </c>
      <c r="J18" s="7">
        <v>8</v>
      </c>
      <c r="K18" s="9">
        <v>33</v>
      </c>
      <c r="L18" s="9">
        <v>33</v>
      </c>
      <c r="N18" s="7">
        <v>16</v>
      </c>
      <c r="O18" s="8">
        <f t="shared" si="0"/>
        <v>150</v>
      </c>
      <c r="P18" s="1">
        <f t="shared" si="1"/>
        <v>960</v>
      </c>
      <c r="Q18" s="1">
        <f t="shared" si="2"/>
        <v>769</v>
      </c>
      <c r="R18" s="2">
        <f t="shared" si="3"/>
        <v>534</v>
      </c>
      <c r="S18" s="1">
        <f t="shared" si="4"/>
        <v>448.5</v>
      </c>
      <c r="T18" s="1">
        <f t="shared" si="5"/>
        <v>436.02000000000004</v>
      </c>
      <c r="U18" s="22">
        <f t="shared" si="6"/>
        <v>0.694408322496749</v>
      </c>
      <c r="V18" s="22">
        <f t="shared" si="7"/>
        <v>0.97217391304347822</v>
      </c>
      <c r="W18" s="22">
        <f t="shared" si="8"/>
        <v>0.8398876404494382</v>
      </c>
      <c r="X18" s="1">
        <f t="shared" si="9"/>
        <v>0.56699609882964885</v>
      </c>
      <c r="Z18" s="5"/>
      <c r="AA18" s="5"/>
      <c r="AB18" s="5"/>
      <c r="AC18" s="5"/>
    </row>
    <row r="19" spans="1:29" x14ac:dyDescent="0.3">
      <c r="A19" s="2">
        <v>18</v>
      </c>
      <c r="B19" s="2" t="s">
        <v>5</v>
      </c>
      <c r="C19" s="2">
        <v>1888</v>
      </c>
      <c r="D19" s="10">
        <v>20</v>
      </c>
      <c r="E19" s="10">
        <v>50</v>
      </c>
      <c r="F19" s="9">
        <v>108</v>
      </c>
      <c r="G19" s="9">
        <v>29</v>
      </c>
      <c r="H19" s="7">
        <v>16</v>
      </c>
      <c r="I19" s="9">
        <v>27</v>
      </c>
      <c r="J19" s="7">
        <v>11</v>
      </c>
      <c r="K19" s="9">
        <v>30</v>
      </c>
      <c r="L19" s="9">
        <v>32</v>
      </c>
      <c r="N19" s="7">
        <v>19</v>
      </c>
      <c r="O19" s="8">
        <f t="shared" si="0"/>
        <v>150</v>
      </c>
      <c r="P19" s="1">
        <f t="shared" si="1"/>
        <v>960</v>
      </c>
      <c r="Q19" s="1">
        <f t="shared" si="2"/>
        <v>764</v>
      </c>
      <c r="R19" s="2">
        <f t="shared" si="3"/>
        <v>538</v>
      </c>
      <c r="S19" s="1">
        <f t="shared" si="4"/>
        <v>490.88</v>
      </c>
      <c r="T19" s="1">
        <f t="shared" si="5"/>
        <v>472.68</v>
      </c>
      <c r="U19" s="22">
        <f t="shared" si="6"/>
        <v>0.70418848167539272</v>
      </c>
      <c r="V19" s="22">
        <f t="shared" si="7"/>
        <v>0.96292372881355937</v>
      </c>
      <c r="W19" s="22">
        <f t="shared" si="8"/>
        <v>0.91241635687732336</v>
      </c>
      <c r="X19" s="1">
        <f t="shared" si="9"/>
        <v>0.61869109947643974</v>
      </c>
      <c r="Z19" s="5"/>
      <c r="AA19" s="5"/>
      <c r="AB19" s="5"/>
      <c r="AC19" s="5"/>
    </row>
    <row r="20" spans="1:29" x14ac:dyDescent="0.3">
      <c r="A20" s="2">
        <v>19</v>
      </c>
      <c r="B20" s="2" t="s">
        <v>4</v>
      </c>
      <c r="C20" s="2">
        <v>1831</v>
      </c>
      <c r="D20" s="10">
        <v>11</v>
      </c>
      <c r="E20" s="10">
        <v>13</v>
      </c>
      <c r="F20" s="9">
        <v>147</v>
      </c>
      <c r="G20" s="9">
        <v>40</v>
      </c>
      <c r="H20" s="7">
        <v>18</v>
      </c>
      <c r="I20" s="9">
        <v>21</v>
      </c>
      <c r="J20" s="7">
        <v>11</v>
      </c>
      <c r="K20" s="9">
        <v>17</v>
      </c>
      <c r="L20" s="9">
        <v>33</v>
      </c>
      <c r="N20" s="7">
        <v>17</v>
      </c>
      <c r="O20" s="8">
        <f t="shared" si="0"/>
        <v>150</v>
      </c>
      <c r="P20" s="1">
        <f t="shared" si="1"/>
        <v>960</v>
      </c>
      <c r="Q20" s="1">
        <f t="shared" si="2"/>
        <v>764</v>
      </c>
      <c r="R20" s="2">
        <f t="shared" si="3"/>
        <v>506</v>
      </c>
      <c r="S20" s="1">
        <f t="shared" si="4"/>
        <v>476.06</v>
      </c>
      <c r="T20" s="1">
        <f t="shared" si="5"/>
        <v>469.82</v>
      </c>
      <c r="U20" s="22">
        <f t="shared" si="6"/>
        <v>0.66230366492146597</v>
      </c>
      <c r="V20" s="22">
        <f t="shared" si="7"/>
        <v>0.98689240851993443</v>
      </c>
      <c r="W20" s="22">
        <f t="shared" si="8"/>
        <v>0.94083003952569166</v>
      </c>
      <c r="X20" s="1">
        <f t="shared" si="9"/>
        <v>0.61494764397905755</v>
      </c>
      <c r="Z20" s="5"/>
      <c r="AA20" s="5"/>
      <c r="AB20" s="5"/>
      <c r="AC20" s="5"/>
    </row>
    <row r="21" spans="1:29" x14ac:dyDescent="0.3">
      <c r="A21" s="2">
        <v>20</v>
      </c>
      <c r="B21" s="2" t="s">
        <v>3</v>
      </c>
      <c r="C21" s="2">
        <v>1827</v>
      </c>
      <c r="D21" s="10">
        <v>11</v>
      </c>
      <c r="E21" s="10">
        <v>48</v>
      </c>
      <c r="F21" s="9">
        <v>133</v>
      </c>
      <c r="G21" s="9">
        <v>20</v>
      </c>
      <c r="H21" s="7">
        <v>16</v>
      </c>
      <c r="I21" s="9">
        <v>22</v>
      </c>
      <c r="J21" s="7">
        <v>7</v>
      </c>
      <c r="K21" s="9">
        <v>28</v>
      </c>
      <c r="L21" s="9">
        <v>26</v>
      </c>
      <c r="M21" s="7">
        <v>25</v>
      </c>
      <c r="N21" s="7">
        <v>19</v>
      </c>
      <c r="O21" s="8">
        <f t="shared" si="0"/>
        <v>150</v>
      </c>
      <c r="P21" s="1">
        <f t="shared" si="1"/>
        <v>960</v>
      </c>
      <c r="Q21" s="1">
        <f t="shared" si="2"/>
        <v>743</v>
      </c>
      <c r="R21" s="2">
        <f t="shared" si="3"/>
        <v>514</v>
      </c>
      <c r="S21" s="1">
        <f t="shared" si="4"/>
        <v>475.02000000000004</v>
      </c>
      <c r="T21" s="1">
        <f t="shared" si="5"/>
        <v>459.68</v>
      </c>
      <c r="U21" s="22">
        <f t="shared" si="6"/>
        <v>0.69179004037685066</v>
      </c>
      <c r="V21" s="22">
        <f t="shared" si="7"/>
        <v>0.96770662287903664</v>
      </c>
      <c r="W21" s="22">
        <f t="shared" si="8"/>
        <v>0.92416342412451369</v>
      </c>
      <c r="X21" s="1">
        <f t="shared" si="9"/>
        <v>0.61868102288021543</v>
      </c>
      <c r="Z21" s="5"/>
      <c r="AA21" s="5"/>
      <c r="AB21" s="5"/>
      <c r="AC21" s="5"/>
    </row>
    <row r="22" spans="1:29" x14ac:dyDescent="0.3">
      <c r="A22" s="2">
        <v>21</v>
      </c>
      <c r="B22" s="2" t="s">
        <v>2</v>
      </c>
      <c r="C22" s="2">
        <v>1878</v>
      </c>
      <c r="D22" s="10">
        <v>19</v>
      </c>
      <c r="E22" s="10">
        <v>17</v>
      </c>
      <c r="F22" s="9">
        <v>112</v>
      </c>
      <c r="G22" s="9">
        <v>27</v>
      </c>
      <c r="H22" s="7">
        <v>19</v>
      </c>
      <c r="I22" s="9">
        <v>22</v>
      </c>
      <c r="J22" s="7">
        <v>11</v>
      </c>
      <c r="K22" s="9">
        <v>25</v>
      </c>
      <c r="L22" s="9">
        <v>27</v>
      </c>
      <c r="N22" s="7">
        <v>15</v>
      </c>
      <c r="O22" s="8">
        <f t="shared" si="0"/>
        <v>150</v>
      </c>
      <c r="P22" s="1">
        <f t="shared" si="1"/>
        <v>960</v>
      </c>
      <c r="Q22" s="1">
        <f t="shared" si="2"/>
        <v>765</v>
      </c>
      <c r="R22" s="2">
        <f t="shared" si="3"/>
        <v>552</v>
      </c>
      <c r="S22" s="1">
        <f t="shared" si="4"/>
        <v>488.28000000000003</v>
      </c>
      <c r="T22" s="1">
        <f t="shared" si="5"/>
        <v>478.92</v>
      </c>
      <c r="U22" s="22">
        <f t="shared" si="6"/>
        <v>0.72156862745098038</v>
      </c>
      <c r="V22" s="22">
        <f t="shared" si="7"/>
        <v>0.98083067092651754</v>
      </c>
      <c r="W22" s="22">
        <f t="shared" si="8"/>
        <v>0.88456521739130445</v>
      </c>
      <c r="X22" s="1">
        <f t="shared" si="9"/>
        <v>0.62603921568627463</v>
      </c>
      <c r="Z22" s="5"/>
      <c r="AA22" s="5"/>
      <c r="AB22" s="5"/>
      <c r="AC22" s="5"/>
    </row>
    <row r="23" spans="1:29" x14ac:dyDescent="0.3">
      <c r="A23" s="2">
        <v>22</v>
      </c>
      <c r="B23" s="2" t="s">
        <v>4</v>
      </c>
      <c r="C23" s="2">
        <v>1883</v>
      </c>
      <c r="D23" s="10">
        <v>10</v>
      </c>
      <c r="E23" s="10">
        <v>22</v>
      </c>
      <c r="F23" s="9">
        <v>113</v>
      </c>
      <c r="G23" s="9">
        <v>37</v>
      </c>
      <c r="H23" s="7">
        <v>20</v>
      </c>
      <c r="I23" s="9">
        <v>18</v>
      </c>
      <c r="J23" s="7">
        <v>10</v>
      </c>
      <c r="K23" s="9">
        <v>22</v>
      </c>
      <c r="L23" s="9">
        <v>32</v>
      </c>
      <c r="N23" s="7">
        <v>14</v>
      </c>
      <c r="O23" s="8">
        <f t="shared" si="0"/>
        <v>150</v>
      </c>
      <c r="P23" s="1">
        <f t="shared" si="1"/>
        <v>960</v>
      </c>
      <c r="Q23" s="1">
        <f t="shared" si="2"/>
        <v>766</v>
      </c>
      <c r="R23" s="2">
        <f t="shared" si="3"/>
        <v>544</v>
      </c>
      <c r="S23" s="1">
        <f t="shared" si="4"/>
        <v>489.58000000000004</v>
      </c>
      <c r="T23" s="1">
        <f t="shared" si="5"/>
        <v>481.26</v>
      </c>
      <c r="U23" s="22">
        <f t="shared" si="6"/>
        <v>0.71018276762402088</v>
      </c>
      <c r="V23" s="22">
        <f t="shared" si="7"/>
        <v>0.9830058417419012</v>
      </c>
      <c r="W23" s="22">
        <f t="shared" si="8"/>
        <v>0.8999632352941177</v>
      </c>
      <c r="X23" s="1">
        <f t="shared" si="9"/>
        <v>0.62827676240208885</v>
      </c>
      <c r="Z23" s="5"/>
      <c r="AA23" s="5"/>
      <c r="AB23" s="5"/>
      <c r="AC23" s="5"/>
    </row>
    <row r="24" spans="1:29" x14ac:dyDescent="0.3">
      <c r="A24" s="2">
        <v>23</v>
      </c>
      <c r="B24" s="2" t="s">
        <v>3</v>
      </c>
      <c r="C24" s="2">
        <v>1792</v>
      </c>
      <c r="D24" s="10">
        <v>11</v>
      </c>
      <c r="E24" s="10">
        <v>30</v>
      </c>
      <c r="F24" s="9">
        <v>136</v>
      </c>
      <c r="G24" s="9">
        <v>37</v>
      </c>
      <c r="H24" s="7">
        <v>17</v>
      </c>
      <c r="I24" s="9">
        <v>18</v>
      </c>
      <c r="J24" s="7">
        <v>10</v>
      </c>
      <c r="K24" s="9">
        <v>31</v>
      </c>
      <c r="L24" s="9">
        <v>33</v>
      </c>
      <c r="N24" s="7">
        <v>20</v>
      </c>
      <c r="O24" s="8">
        <f t="shared" si="0"/>
        <v>150</v>
      </c>
      <c r="P24" s="1">
        <f t="shared" si="1"/>
        <v>960</v>
      </c>
      <c r="Q24" s="1">
        <f t="shared" si="2"/>
        <v>763</v>
      </c>
      <c r="R24" s="2">
        <f t="shared" si="3"/>
        <v>508</v>
      </c>
      <c r="S24" s="1">
        <f t="shared" si="4"/>
        <v>465.92</v>
      </c>
      <c r="T24" s="1">
        <f t="shared" si="5"/>
        <v>455.26</v>
      </c>
      <c r="U24" s="22">
        <f t="shared" si="6"/>
        <v>0.66579292267365664</v>
      </c>
      <c r="V24" s="22">
        <f t="shared" si="7"/>
        <v>0.9771205357142857</v>
      </c>
      <c r="W24" s="22">
        <f t="shared" si="8"/>
        <v>0.91716535433070867</v>
      </c>
      <c r="X24" s="1">
        <f t="shared" si="9"/>
        <v>0.59667103538663169</v>
      </c>
      <c r="Z24" s="5"/>
      <c r="AA24" s="5"/>
      <c r="AB24" s="5"/>
      <c r="AC24" s="5"/>
    </row>
    <row r="25" spans="1:29" x14ac:dyDescent="0.3">
      <c r="A25" s="2">
        <v>24</v>
      </c>
      <c r="B25" s="2" t="s">
        <v>5</v>
      </c>
      <c r="C25" s="2">
        <v>1763</v>
      </c>
      <c r="D25" s="10">
        <v>19</v>
      </c>
      <c r="E25" s="10">
        <v>35</v>
      </c>
      <c r="F25" s="9">
        <v>134</v>
      </c>
      <c r="G25" s="9">
        <v>27</v>
      </c>
      <c r="H25" s="7">
        <v>17</v>
      </c>
      <c r="I25" s="9">
        <v>26</v>
      </c>
      <c r="J25" s="7">
        <v>9</v>
      </c>
      <c r="K25" s="9">
        <v>25</v>
      </c>
      <c r="L25" s="9">
        <v>36</v>
      </c>
      <c r="N25" s="7">
        <v>18</v>
      </c>
      <c r="O25" s="8">
        <f t="shared" si="0"/>
        <v>150</v>
      </c>
      <c r="P25" s="1">
        <f t="shared" si="1"/>
        <v>960</v>
      </c>
      <c r="Q25" s="1">
        <f t="shared" si="2"/>
        <v>766</v>
      </c>
      <c r="R25" s="2">
        <f t="shared" si="3"/>
        <v>518</v>
      </c>
      <c r="S25" s="1">
        <f t="shared" si="4"/>
        <v>458.38</v>
      </c>
      <c r="T25" s="1">
        <f t="shared" si="5"/>
        <v>444.34000000000003</v>
      </c>
      <c r="U25" s="22">
        <f t="shared" si="6"/>
        <v>0.67624020887728464</v>
      </c>
      <c r="V25" s="22">
        <f t="shared" si="7"/>
        <v>0.96937039137833236</v>
      </c>
      <c r="W25" s="22">
        <f t="shared" si="8"/>
        <v>0.88490347490347487</v>
      </c>
      <c r="X25" s="1">
        <f t="shared" si="9"/>
        <v>0.58007832898172318</v>
      </c>
      <c r="Z25" s="5"/>
      <c r="AA25" s="5"/>
      <c r="AB25" s="5"/>
      <c r="AC25" s="5"/>
    </row>
    <row r="26" spans="1:29" x14ac:dyDescent="0.3">
      <c r="A26" s="2">
        <v>25</v>
      </c>
      <c r="B26" s="2" t="s">
        <v>4</v>
      </c>
      <c r="C26" s="2">
        <v>1863</v>
      </c>
      <c r="D26" s="10">
        <v>14</v>
      </c>
      <c r="E26" s="10">
        <v>50</v>
      </c>
      <c r="F26" s="9">
        <v>129</v>
      </c>
      <c r="G26" s="9">
        <v>36</v>
      </c>
      <c r="H26" s="7">
        <v>15</v>
      </c>
      <c r="I26" s="9">
        <v>30</v>
      </c>
      <c r="J26" s="7">
        <v>11</v>
      </c>
      <c r="K26" s="9">
        <v>17</v>
      </c>
      <c r="L26" s="9">
        <v>35</v>
      </c>
      <c r="N26" s="7">
        <v>18</v>
      </c>
      <c r="O26" s="8">
        <f t="shared" si="0"/>
        <v>150</v>
      </c>
      <c r="P26" s="1">
        <f t="shared" si="1"/>
        <v>960</v>
      </c>
      <c r="Q26" s="1">
        <f t="shared" si="2"/>
        <v>766</v>
      </c>
      <c r="R26" s="2">
        <f t="shared" si="3"/>
        <v>519</v>
      </c>
      <c r="S26" s="1">
        <f t="shared" si="4"/>
        <v>484.38</v>
      </c>
      <c r="T26" s="1">
        <f t="shared" si="5"/>
        <v>467.74</v>
      </c>
      <c r="U26" s="22">
        <f t="shared" si="6"/>
        <v>0.67754569190600522</v>
      </c>
      <c r="V26" s="22">
        <f t="shared" si="7"/>
        <v>0.96564680622651633</v>
      </c>
      <c r="W26" s="22">
        <f t="shared" si="8"/>
        <v>0.93329479768786128</v>
      </c>
      <c r="X26" s="1">
        <f t="shared" si="9"/>
        <v>0.61062663185378596</v>
      </c>
      <c r="Z26" s="5"/>
      <c r="AA26" s="5"/>
      <c r="AB26" s="5"/>
      <c r="AC26" s="5"/>
    </row>
    <row r="27" spans="1:29" x14ac:dyDescent="0.3">
      <c r="A27" s="2">
        <v>26</v>
      </c>
      <c r="B27" s="2" t="s">
        <v>3</v>
      </c>
      <c r="C27" s="2">
        <v>1791</v>
      </c>
      <c r="D27" s="10">
        <v>30</v>
      </c>
      <c r="E27" s="10">
        <v>20</v>
      </c>
      <c r="F27" s="9">
        <v>113</v>
      </c>
      <c r="G27" s="9">
        <v>32</v>
      </c>
      <c r="H27" s="7">
        <v>15</v>
      </c>
      <c r="I27" s="9">
        <v>30</v>
      </c>
      <c r="J27" s="7">
        <v>10</v>
      </c>
      <c r="K27" s="9">
        <v>18</v>
      </c>
      <c r="L27" s="9">
        <v>33</v>
      </c>
      <c r="N27" s="7">
        <v>16</v>
      </c>
      <c r="O27" s="8">
        <f t="shared" si="0"/>
        <v>150</v>
      </c>
      <c r="P27" s="1">
        <f t="shared" si="1"/>
        <v>960</v>
      </c>
      <c r="Q27" s="1">
        <f t="shared" si="2"/>
        <v>769</v>
      </c>
      <c r="R27" s="2">
        <f t="shared" si="3"/>
        <v>543</v>
      </c>
      <c r="S27" s="1">
        <f t="shared" si="4"/>
        <v>465.66</v>
      </c>
      <c r="T27" s="1">
        <f t="shared" si="5"/>
        <v>452.66</v>
      </c>
      <c r="U27" s="22">
        <f t="shared" si="6"/>
        <v>0.70611183355006502</v>
      </c>
      <c r="V27" s="22">
        <f t="shared" si="7"/>
        <v>0.97208263539921835</v>
      </c>
      <c r="W27" s="22">
        <f t="shared" si="8"/>
        <v>0.85756906077348072</v>
      </c>
      <c r="X27" s="1">
        <f t="shared" si="9"/>
        <v>0.58863459037711319</v>
      </c>
      <c r="Z27" s="5"/>
      <c r="AA27" s="5"/>
      <c r="AB27" s="5"/>
      <c r="AC27" s="5"/>
    </row>
    <row r="28" spans="1:29" x14ac:dyDescent="0.3">
      <c r="A28" s="2">
        <v>27</v>
      </c>
      <c r="B28" s="2" t="s">
        <v>5</v>
      </c>
      <c r="C28" s="2">
        <v>1672</v>
      </c>
      <c r="D28" s="10">
        <v>20</v>
      </c>
      <c r="E28" s="10">
        <v>24</v>
      </c>
      <c r="F28" s="9">
        <v>156</v>
      </c>
      <c r="G28" s="9">
        <v>42</v>
      </c>
      <c r="H28" s="7">
        <v>19</v>
      </c>
      <c r="I28" s="9">
        <v>20</v>
      </c>
      <c r="J28" s="7">
        <v>8</v>
      </c>
      <c r="K28" s="9">
        <v>30</v>
      </c>
      <c r="L28" s="9">
        <v>34</v>
      </c>
      <c r="N28" s="7">
        <v>14</v>
      </c>
      <c r="O28" s="8">
        <f t="shared" si="0"/>
        <v>150</v>
      </c>
      <c r="P28" s="1">
        <f t="shared" si="1"/>
        <v>960</v>
      </c>
      <c r="Q28" s="1">
        <f t="shared" si="2"/>
        <v>769</v>
      </c>
      <c r="R28" s="2">
        <f t="shared" si="3"/>
        <v>487</v>
      </c>
      <c r="S28" s="1">
        <f t="shared" si="4"/>
        <v>434.72</v>
      </c>
      <c r="T28" s="1">
        <f t="shared" si="5"/>
        <v>423.28000000000003</v>
      </c>
      <c r="U28" s="22">
        <f t="shared" si="6"/>
        <v>0.63328998699609884</v>
      </c>
      <c r="V28" s="22">
        <f t="shared" si="7"/>
        <v>0.97368421052631582</v>
      </c>
      <c r="W28" s="22">
        <f t="shared" si="8"/>
        <v>0.89264887063655041</v>
      </c>
      <c r="X28" s="1">
        <f t="shared" si="9"/>
        <v>0.55042912873862171</v>
      </c>
      <c r="Z28" s="5"/>
      <c r="AA28" s="5"/>
      <c r="AB28" s="5"/>
      <c r="AC28" s="5"/>
    </row>
    <row r="29" spans="1:29" x14ac:dyDescent="0.3">
      <c r="A29" s="2">
        <v>28</v>
      </c>
      <c r="B29" s="2" t="s">
        <v>5</v>
      </c>
      <c r="C29" s="2">
        <v>1716</v>
      </c>
      <c r="D29" s="10">
        <v>21</v>
      </c>
      <c r="E29" s="10">
        <v>29</v>
      </c>
      <c r="F29" s="9">
        <v>115</v>
      </c>
      <c r="G29" s="9">
        <v>27</v>
      </c>
      <c r="H29" s="7">
        <v>18</v>
      </c>
      <c r="I29" s="9">
        <v>20</v>
      </c>
      <c r="J29" s="7">
        <v>12</v>
      </c>
      <c r="L29" s="9">
        <v>38</v>
      </c>
      <c r="N29" s="7">
        <v>15</v>
      </c>
      <c r="O29" s="8">
        <f t="shared" si="0"/>
        <v>150</v>
      </c>
      <c r="P29" s="1">
        <f t="shared" si="1"/>
        <v>960</v>
      </c>
      <c r="Q29" s="1">
        <f t="shared" si="2"/>
        <v>765</v>
      </c>
      <c r="R29" s="2">
        <f t="shared" si="3"/>
        <v>565</v>
      </c>
      <c r="S29" s="1">
        <f t="shared" si="4"/>
        <v>446.16</v>
      </c>
      <c r="T29" s="1">
        <f t="shared" si="5"/>
        <v>433.16</v>
      </c>
      <c r="U29" s="22">
        <f t="shared" si="6"/>
        <v>0.73856209150326801</v>
      </c>
      <c r="V29" s="22">
        <f t="shared" si="7"/>
        <v>0.97086247086247091</v>
      </c>
      <c r="W29" s="22">
        <f t="shared" si="8"/>
        <v>0.78966371681415937</v>
      </c>
      <c r="X29" s="1">
        <f t="shared" si="9"/>
        <v>0.5662222222222224</v>
      </c>
      <c r="Z29" s="5"/>
      <c r="AA29" s="5"/>
      <c r="AB29" s="5"/>
      <c r="AC29" s="5"/>
    </row>
    <row r="30" spans="1:29" x14ac:dyDescent="0.3">
      <c r="A30" s="2">
        <v>29</v>
      </c>
      <c r="B30" s="2" t="s">
        <v>4</v>
      </c>
      <c r="C30" s="2">
        <v>1832</v>
      </c>
      <c r="D30" s="10">
        <v>10</v>
      </c>
      <c r="E30" s="10">
        <v>35</v>
      </c>
      <c r="F30" s="9">
        <v>121</v>
      </c>
      <c r="G30" s="9">
        <v>34</v>
      </c>
      <c r="H30" s="7">
        <v>20</v>
      </c>
      <c r="I30" s="9">
        <v>28</v>
      </c>
      <c r="J30" s="7">
        <v>8</v>
      </c>
      <c r="K30" s="9">
        <v>24</v>
      </c>
      <c r="L30" s="9">
        <v>30</v>
      </c>
      <c r="N30" s="7">
        <v>17</v>
      </c>
      <c r="O30" s="8">
        <f t="shared" si="0"/>
        <v>150</v>
      </c>
      <c r="P30" s="1">
        <f t="shared" si="1"/>
        <v>960</v>
      </c>
      <c r="Q30" s="1">
        <f t="shared" si="2"/>
        <v>765</v>
      </c>
      <c r="R30" s="2">
        <f t="shared" si="3"/>
        <v>528</v>
      </c>
      <c r="S30" s="1">
        <f t="shared" si="4"/>
        <v>476.32</v>
      </c>
      <c r="T30" s="1">
        <f t="shared" si="5"/>
        <v>464.62</v>
      </c>
      <c r="U30" s="22">
        <f t="shared" si="6"/>
        <v>0.69019607843137254</v>
      </c>
      <c r="V30" s="22">
        <f t="shared" si="7"/>
        <v>0.97543668122270744</v>
      </c>
      <c r="W30" s="22">
        <f t="shared" si="8"/>
        <v>0.9021212121212121</v>
      </c>
      <c r="X30" s="1">
        <f t="shared" si="9"/>
        <v>0.60734640522875816</v>
      </c>
      <c r="Z30" s="5"/>
      <c r="AA30" s="5"/>
      <c r="AB30" s="5"/>
      <c r="AC30" s="5"/>
    </row>
    <row r="31" spans="1:29" x14ac:dyDescent="0.3">
      <c r="A31" s="2">
        <v>30</v>
      </c>
      <c r="B31" s="2" t="s">
        <v>3</v>
      </c>
      <c r="C31" s="2">
        <v>1837</v>
      </c>
      <c r="D31" s="10">
        <v>21</v>
      </c>
      <c r="E31" s="10">
        <v>29</v>
      </c>
      <c r="F31" s="9">
        <v>117</v>
      </c>
      <c r="G31" s="9">
        <v>32</v>
      </c>
      <c r="H31" s="7">
        <v>17</v>
      </c>
      <c r="I31" s="9">
        <v>29</v>
      </c>
      <c r="J31" s="7">
        <v>11</v>
      </c>
      <c r="K31" s="9">
        <v>35</v>
      </c>
      <c r="L31" s="9">
        <v>28</v>
      </c>
      <c r="M31" s="7">
        <v>30</v>
      </c>
      <c r="N31" s="7">
        <v>18</v>
      </c>
      <c r="O31" s="8">
        <f t="shared" si="0"/>
        <v>150</v>
      </c>
      <c r="P31" s="1">
        <f t="shared" si="1"/>
        <v>960</v>
      </c>
      <c r="Q31" s="1">
        <f t="shared" si="2"/>
        <v>734</v>
      </c>
      <c r="R31" s="2">
        <f t="shared" si="3"/>
        <v>493</v>
      </c>
      <c r="S31" s="1">
        <f t="shared" si="4"/>
        <v>477.62</v>
      </c>
      <c r="T31" s="1">
        <f t="shared" si="5"/>
        <v>464.62</v>
      </c>
      <c r="U31" s="22">
        <f t="shared" si="6"/>
        <v>0.67166212534059944</v>
      </c>
      <c r="V31" s="22">
        <f t="shared" si="7"/>
        <v>0.97278170930865537</v>
      </c>
      <c r="W31" s="22">
        <f t="shared" si="8"/>
        <v>0.96880324543610552</v>
      </c>
      <c r="X31" s="1">
        <f t="shared" si="9"/>
        <v>0.63299727520435967</v>
      </c>
      <c r="Z31" s="5"/>
      <c r="AA31" s="5"/>
      <c r="AB31" s="5"/>
      <c r="AC31" s="5"/>
    </row>
    <row r="32" spans="1:29" x14ac:dyDescent="0.3">
      <c r="A32" s="2">
        <v>31</v>
      </c>
      <c r="B32" s="2" t="s">
        <v>2</v>
      </c>
      <c r="C32" s="2">
        <v>1812</v>
      </c>
      <c r="D32" s="10">
        <v>24</v>
      </c>
      <c r="E32" s="10">
        <v>45</v>
      </c>
      <c r="F32" s="9">
        <v>115</v>
      </c>
      <c r="G32" s="9">
        <v>29</v>
      </c>
      <c r="H32" s="7">
        <v>15</v>
      </c>
      <c r="I32" s="9">
        <v>23</v>
      </c>
      <c r="J32" s="7">
        <v>12</v>
      </c>
      <c r="K32" s="9">
        <v>36</v>
      </c>
      <c r="L32" s="9">
        <v>27</v>
      </c>
      <c r="N32" s="7">
        <v>17</v>
      </c>
      <c r="O32" s="8">
        <f t="shared" si="0"/>
        <v>150</v>
      </c>
      <c r="P32" s="1">
        <f t="shared" si="1"/>
        <v>960</v>
      </c>
      <c r="Q32" s="1">
        <f t="shared" si="2"/>
        <v>766</v>
      </c>
      <c r="R32" s="2">
        <f t="shared" si="3"/>
        <v>536</v>
      </c>
      <c r="S32" s="1">
        <f t="shared" si="4"/>
        <v>471.12</v>
      </c>
      <c r="T32" s="1">
        <f t="shared" si="5"/>
        <v>453.18</v>
      </c>
      <c r="U32" s="22">
        <f t="shared" si="6"/>
        <v>0.69973890339425593</v>
      </c>
      <c r="V32" s="22">
        <f t="shared" si="7"/>
        <v>0.96192052980132448</v>
      </c>
      <c r="W32" s="22">
        <f t="shared" si="8"/>
        <v>0.87895522388059699</v>
      </c>
      <c r="X32" s="1">
        <f t="shared" si="9"/>
        <v>0.59161879895561365</v>
      </c>
      <c r="Z32" s="5"/>
      <c r="AA32" s="5"/>
      <c r="AB32" s="5"/>
      <c r="AC32" s="5"/>
    </row>
    <row r="33" spans="1:29" x14ac:dyDescent="0.3">
      <c r="A33" s="2">
        <v>32</v>
      </c>
      <c r="B33" s="2" t="s">
        <v>4</v>
      </c>
      <c r="C33" s="2">
        <v>1701</v>
      </c>
      <c r="D33" s="10">
        <v>15</v>
      </c>
      <c r="E33" s="10">
        <v>15</v>
      </c>
      <c r="F33" s="9">
        <v>134</v>
      </c>
      <c r="G33" s="9">
        <v>38</v>
      </c>
      <c r="H33" s="7">
        <v>20</v>
      </c>
      <c r="I33" s="9">
        <v>22</v>
      </c>
      <c r="J33" s="7">
        <v>8</v>
      </c>
      <c r="K33" s="9">
        <v>18</v>
      </c>
      <c r="L33" s="9">
        <v>36</v>
      </c>
      <c r="N33" s="7">
        <v>13</v>
      </c>
      <c r="O33" s="8">
        <f t="shared" si="0"/>
        <v>150</v>
      </c>
      <c r="P33" s="1">
        <f t="shared" si="1"/>
        <v>960</v>
      </c>
      <c r="Q33" s="1">
        <f t="shared" si="2"/>
        <v>769</v>
      </c>
      <c r="R33" s="2">
        <f t="shared" si="3"/>
        <v>521</v>
      </c>
      <c r="S33" s="1">
        <f t="shared" si="4"/>
        <v>442.26</v>
      </c>
      <c r="T33" s="1">
        <f t="shared" si="5"/>
        <v>434.46000000000004</v>
      </c>
      <c r="U33" s="22">
        <f t="shared" si="6"/>
        <v>0.67750325097529263</v>
      </c>
      <c r="V33" s="22">
        <f t="shared" si="7"/>
        <v>0.98236331569664903</v>
      </c>
      <c r="W33" s="22">
        <f t="shared" si="8"/>
        <v>0.84886756238003835</v>
      </c>
      <c r="X33" s="1">
        <f t="shared" si="9"/>
        <v>0.56496749024707416</v>
      </c>
      <c r="Z33" s="5"/>
      <c r="AA33" s="5"/>
      <c r="AB33" s="5"/>
      <c r="AC33" s="5"/>
    </row>
    <row r="34" spans="1:29" x14ac:dyDescent="0.3">
      <c r="A34" s="2">
        <v>33</v>
      </c>
      <c r="B34" s="2" t="s">
        <v>3</v>
      </c>
      <c r="C34" s="2">
        <v>1731</v>
      </c>
      <c r="D34" s="10">
        <v>27</v>
      </c>
      <c r="E34" s="10">
        <v>30</v>
      </c>
      <c r="F34" s="9">
        <v>126</v>
      </c>
      <c r="G34" s="9">
        <v>34</v>
      </c>
      <c r="H34" s="7">
        <v>20</v>
      </c>
      <c r="I34" s="9">
        <v>32</v>
      </c>
      <c r="J34" s="7">
        <v>9</v>
      </c>
      <c r="K34" s="9">
        <v>31</v>
      </c>
      <c r="L34" s="9">
        <v>27</v>
      </c>
      <c r="N34" s="7">
        <v>16</v>
      </c>
      <c r="O34" s="8">
        <f t="shared" si="0"/>
        <v>150</v>
      </c>
      <c r="P34" s="1">
        <f t="shared" si="1"/>
        <v>960</v>
      </c>
      <c r="Q34" s="1">
        <f t="shared" si="2"/>
        <v>765</v>
      </c>
      <c r="R34" s="2">
        <f t="shared" si="3"/>
        <v>515</v>
      </c>
      <c r="S34" s="1">
        <f t="shared" si="4"/>
        <v>450.06</v>
      </c>
      <c r="T34" s="1">
        <f t="shared" si="5"/>
        <v>435.24</v>
      </c>
      <c r="U34" s="22">
        <f t="shared" si="6"/>
        <v>0.67320261437908502</v>
      </c>
      <c r="V34" s="22">
        <f t="shared" si="7"/>
        <v>0.96707105719237429</v>
      </c>
      <c r="W34" s="22">
        <f t="shared" si="8"/>
        <v>0.87390291262135922</v>
      </c>
      <c r="X34" s="1">
        <f t="shared" si="9"/>
        <v>0.56894117647058828</v>
      </c>
      <c r="Z34" s="5"/>
      <c r="AA34" s="5"/>
      <c r="AB34" s="5"/>
      <c r="AC34" s="5"/>
    </row>
    <row r="35" spans="1:29" x14ac:dyDescent="0.3">
      <c r="A35" s="2">
        <v>34</v>
      </c>
      <c r="B35" s="2" t="s">
        <v>3</v>
      </c>
      <c r="C35" s="2">
        <v>1654</v>
      </c>
      <c r="D35" s="10">
        <v>25</v>
      </c>
      <c r="E35" s="10">
        <v>45</v>
      </c>
      <c r="F35" s="9">
        <v>125</v>
      </c>
      <c r="G35" s="9">
        <v>27</v>
      </c>
      <c r="H35" s="7">
        <v>17</v>
      </c>
      <c r="I35" s="9">
        <v>32</v>
      </c>
      <c r="J35" s="7">
        <v>10</v>
      </c>
      <c r="L35" s="9">
        <v>33</v>
      </c>
      <c r="N35" s="7">
        <v>15</v>
      </c>
      <c r="O35" s="8">
        <f t="shared" si="0"/>
        <v>150</v>
      </c>
      <c r="P35" s="1">
        <f t="shared" si="1"/>
        <v>960</v>
      </c>
      <c r="Q35" s="1">
        <f t="shared" si="2"/>
        <v>768</v>
      </c>
      <c r="R35" s="2">
        <f t="shared" si="3"/>
        <v>551</v>
      </c>
      <c r="S35" s="1">
        <f t="shared" si="4"/>
        <v>430.04</v>
      </c>
      <c r="T35" s="1">
        <f t="shared" si="5"/>
        <v>411.84000000000003</v>
      </c>
      <c r="U35" s="22">
        <f t="shared" si="6"/>
        <v>0.71744791666666663</v>
      </c>
      <c r="V35" s="22">
        <f t="shared" si="7"/>
        <v>0.95767835550181379</v>
      </c>
      <c r="W35" s="22">
        <f t="shared" si="8"/>
        <v>0.78047186932849366</v>
      </c>
      <c r="X35" s="1">
        <f t="shared" si="9"/>
        <v>0.53624999999999989</v>
      </c>
      <c r="Z35" s="5"/>
      <c r="AA35" s="5"/>
      <c r="AB35" s="5"/>
      <c r="AC35" s="5"/>
    </row>
    <row r="36" spans="1:29" x14ac:dyDescent="0.3">
      <c r="A36" s="2">
        <v>35</v>
      </c>
      <c r="B36" s="2" t="s">
        <v>5</v>
      </c>
      <c r="C36" s="2">
        <v>1675</v>
      </c>
      <c r="D36" s="10">
        <v>24</v>
      </c>
      <c r="E36" s="10">
        <v>11</v>
      </c>
      <c r="F36" s="9">
        <v>136</v>
      </c>
      <c r="G36" s="9">
        <v>31</v>
      </c>
      <c r="H36" s="7">
        <v>15</v>
      </c>
      <c r="I36" s="9">
        <v>30</v>
      </c>
      <c r="J36" s="7">
        <v>10</v>
      </c>
      <c r="K36" s="9">
        <v>32</v>
      </c>
      <c r="L36" s="9">
        <v>36</v>
      </c>
      <c r="N36" s="7">
        <v>20</v>
      </c>
      <c r="O36" s="8">
        <f t="shared" si="0"/>
        <v>150</v>
      </c>
      <c r="P36" s="1">
        <f t="shared" si="1"/>
        <v>960</v>
      </c>
      <c r="Q36" s="1">
        <f t="shared" si="2"/>
        <v>765</v>
      </c>
      <c r="R36" s="2">
        <f t="shared" si="3"/>
        <v>500</v>
      </c>
      <c r="S36" s="1">
        <f t="shared" si="4"/>
        <v>435.5</v>
      </c>
      <c r="T36" s="1">
        <f t="shared" si="5"/>
        <v>426.40000000000003</v>
      </c>
      <c r="U36" s="22">
        <f t="shared" si="6"/>
        <v>0.65359477124183007</v>
      </c>
      <c r="V36" s="22">
        <f t="shared" si="7"/>
        <v>0.9791044776119403</v>
      </c>
      <c r="W36" s="22">
        <f t="shared" si="8"/>
        <v>0.871</v>
      </c>
      <c r="X36" s="1">
        <f t="shared" si="9"/>
        <v>0.55738562091503263</v>
      </c>
      <c r="Z36" s="5"/>
      <c r="AA36" s="5"/>
      <c r="AB36" s="5"/>
      <c r="AC36" s="5"/>
    </row>
    <row r="37" spans="1:29" x14ac:dyDescent="0.3">
      <c r="A37" s="2">
        <v>36</v>
      </c>
      <c r="B37" s="2" t="s">
        <v>4</v>
      </c>
      <c r="C37" s="2">
        <v>1706</v>
      </c>
      <c r="D37" s="10">
        <v>25</v>
      </c>
      <c r="E37" s="10">
        <v>21</v>
      </c>
      <c r="F37" s="9">
        <v>128</v>
      </c>
      <c r="G37" s="9">
        <v>39</v>
      </c>
      <c r="H37" s="7">
        <v>17</v>
      </c>
      <c r="I37" s="9">
        <v>35</v>
      </c>
      <c r="J37" s="7">
        <v>13</v>
      </c>
      <c r="K37" s="9">
        <v>18</v>
      </c>
      <c r="L37" s="9">
        <v>34</v>
      </c>
      <c r="N37" s="7">
        <v>18</v>
      </c>
      <c r="O37" s="8">
        <f t="shared" si="0"/>
        <v>150</v>
      </c>
      <c r="P37" s="1">
        <f t="shared" si="1"/>
        <v>960</v>
      </c>
      <c r="Q37" s="1">
        <f t="shared" si="2"/>
        <v>762</v>
      </c>
      <c r="R37" s="2">
        <f t="shared" si="3"/>
        <v>508</v>
      </c>
      <c r="S37" s="1">
        <f t="shared" si="4"/>
        <v>443.56</v>
      </c>
      <c r="T37" s="1">
        <f t="shared" si="5"/>
        <v>431.6</v>
      </c>
      <c r="U37" s="22">
        <f t="shared" si="6"/>
        <v>0.66666666666666663</v>
      </c>
      <c r="V37" s="22">
        <f t="shared" si="7"/>
        <v>0.97303634232121927</v>
      </c>
      <c r="W37" s="22">
        <f t="shared" si="8"/>
        <v>0.87314960629921257</v>
      </c>
      <c r="X37" s="1">
        <f t="shared" si="9"/>
        <v>0.5664041994750656</v>
      </c>
      <c r="Z37" s="5"/>
      <c r="AA37" s="5"/>
      <c r="AB37" s="5"/>
      <c r="AC37" s="5"/>
    </row>
    <row r="38" spans="1:29" x14ac:dyDescent="0.3">
      <c r="A38" s="2">
        <v>37</v>
      </c>
      <c r="B38" s="2" t="s">
        <v>3</v>
      </c>
      <c r="C38" s="2">
        <v>1661</v>
      </c>
      <c r="D38" s="10">
        <v>13</v>
      </c>
      <c r="E38" s="10">
        <v>20</v>
      </c>
      <c r="F38" s="9">
        <v>126</v>
      </c>
      <c r="G38" s="9">
        <v>43</v>
      </c>
      <c r="H38" s="7">
        <v>20</v>
      </c>
      <c r="I38" s="9">
        <v>29</v>
      </c>
      <c r="J38" s="7">
        <v>10</v>
      </c>
      <c r="K38" s="9">
        <v>31</v>
      </c>
      <c r="L38" s="9">
        <v>27</v>
      </c>
      <c r="N38" s="7">
        <v>17</v>
      </c>
      <c r="O38" s="8">
        <f t="shared" si="0"/>
        <v>150</v>
      </c>
      <c r="P38" s="1">
        <f t="shared" si="1"/>
        <v>960</v>
      </c>
      <c r="Q38" s="1">
        <f t="shared" si="2"/>
        <v>763</v>
      </c>
      <c r="R38" s="2">
        <f t="shared" si="3"/>
        <v>507</v>
      </c>
      <c r="S38" s="1">
        <f t="shared" si="4"/>
        <v>431.86</v>
      </c>
      <c r="T38" s="1">
        <f t="shared" si="5"/>
        <v>423.28000000000003</v>
      </c>
      <c r="U38" s="22">
        <f t="shared" si="6"/>
        <v>0.66448230668414154</v>
      </c>
      <c r="V38" s="22">
        <f t="shared" si="7"/>
        <v>0.98013245033112584</v>
      </c>
      <c r="W38" s="22">
        <f t="shared" si="8"/>
        <v>0.85179487179487179</v>
      </c>
      <c r="X38" s="1">
        <f t="shared" si="9"/>
        <v>0.55475753604193967</v>
      </c>
      <c r="Z38" s="5"/>
      <c r="AA38" s="5"/>
      <c r="AB38" s="5"/>
      <c r="AC38" s="5"/>
    </row>
    <row r="39" spans="1:29" x14ac:dyDescent="0.3">
      <c r="A39" s="2">
        <v>38</v>
      </c>
      <c r="B39" s="2" t="s">
        <v>2</v>
      </c>
      <c r="C39" s="2">
        <v>1747</v>
      </c>
      <c r="D39" s="10">
        <v>13</v>
      </c>
      <c r="E39" s="10">
        <v>26</v>
      </c>
      <c r="F39" s="9">
        <v>139</v>
      </c>
      <c r="G39" s="9">
        <v>31</v>
      </c>
      <c r="H39" s="7">
        <v>18</v>
      </c>
      <c r="I39" s="9">
        <v>31</v>
      </c>
      <c r="J39" s="7">
        <v>10</v>
      </c>
      <c r="K39" s="9">
        <v>22</v>
      </c>
      <c r="L39" s="9">
        <v>28</v>
      </c>
      <c r="N39" s="7">
        <v>17</v>
      </c>
      <c r="O39" s="8">
        <f t="shared" si="0"/>
        <v>150</v>
      </c>
      <c r="P39" s="1">
        <f t="shared" si="1"/>
        <v>960</v>
      </c>
      <c r="Q39" s="1">
        <f t="shared" si="2"/>
        <v>765</v>
      </c>
      <c r="R39" s="2">
        <f t="shared" si="3"/>
        <v>514</v>
      </c>
      <c r="S39" s="1">
        <f t="shared" si="4"/>
        <v>454.22</v>
      </c>
      <c r="T39" s="1">
        <f t="shared" si="5"/>
        <v>444.08000000000004</v>
      </c>
      <c r="U39" s="22">
        <f t="shared" si="6"/>
        <v>0.67189542483660136</v>
      </c>
      <c r="V39" s="22">
        <f t="shared" si="7"/>
        <v>0.97767601602747567</v>
      </c>
      <c r="W39" s="22">
        <f t="shared" si="8"/>
        <v>0.88369649805447481</v>
      </c>
      <c r="X39" s="1">
        <f t="shared" si="9"/>
        <v>0.58049673202614394</v>
      </c>
      <c r="Z39" s="5"/>
      <c r="AA39" s="5"/>
      <c r="AB39" s="5"/>
      <c r="AC39" s="5"/>
    </row>
    <row r="40" spans="1:29" x14ac:dyDescent="0.3">
      <c r="A40" s="2">
        <v>39</v>
      </c>
      <c r="B40" s="2" t="s">
        <v>4</v>
      </c>
      <c r="C40" s="2">
        <v>1802</v>
      </c>
      <c r="D40" s="10">
        <v>29</v>
      </c>
      <c r="E40" s="10">
        <v>27</v>
      </c>
      <c r="F40" s="9">
        <v>140</v>
      </c>
      <c r="G40" s="9">
        <v>27</v>
      </c>
      <c r="H40" s="7">
        <v>20</v>
      </c>
      <c r="I40" s="9">
        <v>19</v>
      </c>
      <c r="J40" s="7">
        <v>6</v>
      </c>
      <c r="K40" s="9">
        <v>36</v>
      </c>
      <c r="L40" s="9">
        <v>32</v>
      </c>
      <c r="N40" s="7">
        <v>20</v>
      </c>
      <c r="O40" s="8">
        <f t="shared" si="0"/>
        <v>150</v>
      </c>
      <c r="P40" s="1">
        <f t="shared" si="1"/>
        <v>960</v>
      </c>
      <c r="Q40" s="1">
        <f t="shared" si="2"/>
        <v>764</v>
      </c>
      <c r="R40" s="2">
        <f t="shared" si="3"/>
        <v>510</v>
      </c>
      <c r="S40" s="1">
        <f t="shared" si="4"/>
        <v>468.52000000000004</v>
      </c>
      <c r="T40" s="1">
        <f t="shared" si="5"/>
        <v>453.96000000000004</v>
      </c>
      <c r="U40" s="22">
        <f t="shared" si="6"/>
        <v>0.66753926701570676</v>
      </c>
      <c r="V40" s="22">
        <f t="shared" si="7"/>
        <v>0.96892341842397334</v>
      </c>
      <c r="W40" s="22">
        <f t="shared" si="8"/>
        <v>0.91866666666666674</v>
      </c>
      <c r="X40" s="1">
        <f t="shared" si="9"/>
        <v>0.59418848167539262</v>
      </c>
      <c r="Z40" s="5"/>
      <c r="AA40" s="5"/>
      <c r="AB40" s="5"/>
      <c r="AC40" s="5"/>
    </row>
    <row r="41" spans="1:29" x14ac:dyDescent="0.3">
      <c r="A41" s="2">
        <v>40</v>
      </c>
      <c r="B41" s="2" t="s">
        <v>3</v>
      </c>
      <c r="C41" s="2">
        <v>1777</v>
      </c>
      <c r="D41" s="10">
        <v>10</v>
      </c>
      <c r="E41" s="10">
        <v>48</v>
      </c>
      <c r="F41" s="9">
        <v>118</v>
      </c>
      <c r="G41" s="9">
        <v>40</v>
      </c>
      <c r="H41" s="7">
        <v>20</v>
      </c>
      <c r="I41" s="9">
        <v>35</v>
      </c>
      <c r="J41" s="7">
        <v>9</v>
      </c>
      <c r="K41" s="9">
        <v>17</v>
      </c>
      <c r="L41" s="9">
        <v>37</v>
      </c>
      <c r="M41" s="7">
        <v>40</v>
      </c>
      <c r="N41" s="7">
        <v>15</v>
      </c>
      <c r="O41" s="8">
        <f t="shared" si="0"/>
        <v>150</v>
      </c>
      <c r="P41" s="1">
        <f t="shared" si="1"/>
        <v>960</v>
      </c>
      <c r="Q41" s="1">
        <f t="shared" si="2"/>
        <v>726</v>
      </c>
      <c r="R41" s="2">
        <f t="shared" si="3"/>
        <v>479</v>
      </c>
      <c r="S41" s="1">
        <f t="shared" si="4"/>
        <v>462.02000000000004</v>
      </c>
      <c r="T41" s="1">
        <f t="shared" si="5"/>
        <v>446.94</v>
      </c>
      <c r="U41" s="22">
        <f t="shared" si="6"/>
        <v>0.65977961432506882</v>
      </c>
      <c r="V41" s="22">
        <f t="shared" si="7"/>
        <v>0.96736072031513787</v>
      </c>
      <c r="W41" s="22">
        <f t="shared" si="8"/>
        <v>0.96455114822546983</v>
      </c>
      <c r="X41" s="1">
        <f t="shared" si="9"/>
        <v>0.61561983471074377</v>
      </c>
      <c r="Z41" s="5"/>
      <c r="AA41" s="5"/>
      <c r="AB41" s="5"/>
      <c r="AC41" s="5"/>
    </row>
    <row r="42" spans="1:29" x14ac:dyDescent="0.3">
      <c r="A42" s="2">
        <v>41</v>
      </c>
      <c r="B42" s="2" t="s">
        <v>5</v>
      </c>
      <c r="C42" s="2">
        <v>1668</v>
      </c>
      <c r="D42" s="10">
        <v>24</v>
      </c>
      <c r="E42" s="10">
        <v>13</v>
      </c>
      <c r="F42" s="9">
        <v>126</v>
      </c>
      <c r="G42" s="9">
        <v>37</v>
      </c>
      <c r="H42" s="7">
        <v>16</v>
      </c>
      <c r="I42" s="9">
        <v>25</v>
      </c>
      <c r="J42" s="7">
        <v>7</v>
      </c>
      <c r="K42" s="9">
        <v>29</v>
      </c>
      <c r="L42" s="9">
        <v>26</v>
      </c>
      <c r="N42" s="7">
        <v>17</v>
      </c>
      <c r="O42" s="8">
        <f t="shared" si="0"/>
        <v>150</v>
      </c>
      <c r="P42" s="1">
        <f t="shared" si="1"/>
        <v>960</v>
      </c>
      <c r="Q42" s="1">
        <f t="shared" si="2"/>
        <v>770</v>
      </c>
      <c r="R42" s="2">
        <f t="shared" si="3"/>
        <v>527</v>
      </c>
      <c r="S42" s="1">
        <f t="shared" si="4"/>
        <v>433.68</v>
      </c>
      <c r="T42" s="1">
        <f t="shared" si="5"/>
        <v>424.06</v>
      </c>
      <c r="U42" s="22">
        <f t="shared" si="6"/>
        <v>0.68441558441558437</v>
      </c>
      <c r="V42" s="22">
        <f t="shared" si="7"/>
        <v>0.97781774580335734</v>
      </c>
      <c r="W42" s="22">
        <f t="shared" si="8"/>
        <v>0.82292220113851988</v>
      </c>
      <c r="X42" s="1">
        <f t="shared" si="9"/>
        <v>0.55072727272727273</v>
      </c>
      <c r="Z42" s="5"/>
      <c r="AA42" s="5"/>
      <c r="AB42" s="5"/>
      <c r="AC42" s="5"/>
    </row>
    <row r="43" spans="1:29" x14ac:dyDescent="0.3">
      <c r="A43" s="2">
        <v>42</v>
      </c>
      <c r="B43" s="2" t="s">
        <v>4</v>
      </c>
      <c r="C43" s="2">
        <v>1600</v>
      </c>
      <c r="D43" s="10">
        <v>24</v>
      </c>
      <c r="E43" s="10">
        <v>37</v>
      </c>
      <c r="F43" s="9">
        <v>153</v>
      </c>
      <c r="G43" s="9">
        <v>42</v>
      </c>
      <c r="H43" s="7">
        <v>19</v>
      </c>
      <c r="I43" s="9">
        <v>29</v>
      </c>
      <c r="J43" s="7">
        <v>5</v>
      </c>
      <c r="K43" s="9">
        <v>24</v>
      </c>
      <c r="L43" s="9">
        <v>29</v>
      </c>
      <c r="N43" s="7">
        <v>18</v>
      </c>
      <c r="O43" s="8">
        <f t="shared" si="0"/>
        <v>150</v>
      </c>
      <c r="P43" s="1">
        <f t="shared" si="1"/>
        <v>960</v>
      </c>
      <c r="Q43" s="1">
        <f t="shared" si="2"/>
        <v>768</v>
      </c>
      <c r="R43" s="2">
        <f t="shared" si="3"/>
        <v>491</v>
      </c>
      <c r="S43" s="1">
        <f t="shared" si="4"/>
        <v>416</v>
      </c>
      <c r="T43" s="1">
        <f t="shared" si="5"/>
        <v>400.14</v>
      </c>
      <c r="U43" s="22">
        <f t="shared" si="6"/>
        <v>0.63932291666666663</v>
      </c>
      <c r="V43" s="22">
        <f t="shared" si="7"/>
        <v>0.96187500000000004</v>
      </c>
      <c r="W43" s="22">
        <f t="shared" si="8"/>
        <v>0.84725050916496947</v>
      </c>
      <c r="X43" s="1">
        <f t="shared" si="9"/>
        <v>0.52101562499999998</v>
      </c>
      <c r="Z43" s="5"/>
      <c r="AA43" s="5"/>
      <c r="AB43" s="5"/>
      <c r="AC43" s="5"/>
    </row>
    <row r="44" spans="1:29" x14ac:dyDescent="0.3">
      <c r="A44" s="2">
        <v>43</v>
      </c>
      <c r="B44" s="2" t="s">
        <v>3</v>
      </c>
      <c r="C44" s="2">
        <v>1748</v>
      </c>
      <c r="D44" s="10">
        <v>15</v>
      </c>
      <c r="E44" s="10">
        <v>35</v>
      </c>
      <c r="F44" s="9">
        <v>157</v>
      </c>
      <c r="G44" s="9">
        <v>35</v>
      </c>
      <c r="H44" s="7">
        <v>20</v>
      </c>
      <c r="I44" s="9">
        <v>38</v>
      </c>
      <c r="J44" s="7">
        <v>8</v>
      </c>
      <c r="K44" s="9">
        <v>16</v>
      </c>
      <c r="L44" s="9">
        <v>29</v>
      </c>
      <c r="N44" s="7">
        <v>15</v>
      </c>
      <c r="O44" s="8">
        <f t="shared" si="0"/>
        <v>150</v>
      </c>
      <c r="P44" s="1">
        <f t="shared" si="1"/>
        <v>960</v>
      </c>
      <c r="Q44" s="1">
        <f t="shared" si="2"/>
        <v>767</v>
      </c>
      <c r="R44" s="2">
        <f t="shared" si="3"/>
        <v>492</v>
      </c>
      <c r="S44" s="1">
        <f t="shared" si="4"/>
        <v>454.48</v>
      </c>
      <c r="T44" s="1">
        <f t="shared" si="5"/>
        <v>441.48</v>
      </c>
      <c r="U44" s="22">
        <f t="shared" si="6"/>
        <v>0.64146023468057367</v>
      </c>
      <c r="V44" s="22">
        <f t="shared" si="7"/>
        <v>0.97139588100686503</v>
      </c>
      <c r="W44" s="22">
        <f t="shared" si="8"/>
        <v>0.92373983739837406</v>
      </c>
      <c r="X44" s="1">
        <f t="shared" si="9"/>
        <v>0.57559322033898319</v>
      </c>
      <c r="Z44" s="5"/>
      <c r="AA44" s="5"/>
      <c r="AB44" s="5"/>
      <c r="AC44" s="5"/>
    </row>
    <row r="45" spans="1:29" x14ac:dyDescent="0.3">
      <c r="A45" s="2">
        <v>44</v>
      </c>
      <c r="B45" s="2" t="s">
        <v>2</v>
      </c>
      <c r="C45" s="2">
        <v>1745</v>
      </c>
      <c r="D45" s="10">
        <v>28</v>
      </c>
      <c r="E45" s="10">
        <v>37</v>
      </c>
      <c r="F45" s="9">
        <v>136</v>
      </c>
      <c r="G45" s="9">
        <v>30</v>
      </c>
      <c r="H45" s="7">
        <v>17</v>
      </c>
      <c r="I45" s="9">
        <v>35</v>
      </c>
      <c r="J45" s="7">
        <v>10</v>
      </c>
      <c r="K45" s="9">
        <v>18</v>
      </c>
      <c r="L45" s="9">
        <v>32</v>
      </c>
      <c r="N45" s="7">
        <v>13</v>
      </c>
      <c r="O45" s="8">
        <f t="shared" si="0"/>
        <v>150</v>
      </c>
      <c r="P45" s="1">
        <f t="shared" si="1"/>
        <v>960</v>
      </c>
      <c r="Q45" s="1">
        <f t="shared" si="2"/>
        <v>770</v>
      </c>
      <c r="R45" s="2">
        <f t="shared" si="3"/>
        <v>519</v>
      </c>
      <c r="S45" s="1">
        <f t="shared" si="4"/>
        <v>453.7</v>
      </c>
      <c r="T45" s="1">
        <f t="shared" si="5"/>
        <v>436.8</v>
      </c>
      <c r="U45" s="22">
        <f t="shared" si="6"/>
        <v>0.67402597402597397</v>
      </c>
      <c r="V45" s="22">
        <f t="shared" si="7"/>
        <v>0.96275071633237819</v>
      </c>
      <c r="W45" s="22">
        <f t="shared" si="8"/>
        <v>0.87418111753371863</v>
      </c>
      <c r="X45" s="1">
        <f t="shared" si="9"/>
        <v>0.56727272727272715</v>
      </c>
      <c r="Z45" s="5"/>
      <c r="AA45" s="5"/>
      <c r="AB45" s="5"/>
      <c r="AC45" s="5"/>
    </row>
    <row r="46" spans="1:29" x14ac:dyDescent="0.3">
      <c r="A46" s="2">
        <v>45</v>
      </c>
      <c r="B46" s="2" t="s">
        <v>4</v>
      </c>
      <c r="C46" s="2">
        <v>1575</v>
      </c>
      <c r="D46" s="10">
        <v>29</v>
      </c>
      <c r="E46" s="10">
        <v>35</v>
      </c>
      <c r="F46" s="9">
        <v>143</v>
      </c>
      <c r="G46" s="9">
        <v>25</v>
      </c>
      <c r="H46" s="7">
        <v>20</v>
      </c>
      <c r="I46" s="9">
        <v>28</v>
      </c>
      <c r="J46" s="7">
        <v>8</v>
      </c>
      <c r="K46" s="9">
        <v>35</v>
      </c>
      <c r="L46" s="9">
        <v>32</v>
      </c>
      <c r="N46" s="7">
        <v>17</v>
      </c>
      <c r="O46" s="8">
        <f t="shared" si="0"/>
        <v>150</v>
      </c>
      <c r="P46" s="1">
        <f t="shared" si="1"/>
        <v>960</v>
      </c>
      <c r="Q46" s="1">
        <f t="shared" si="2"/>
        <v>765</v>
      </c>
      <c r="R46" s="2">
        <f t="shared" si="3"/>
        <v>502</v>
      </c>
      <c r="S46" s="1">
        <f t="shared" si="4"/>
        <v>409.5</v>
      </c>
      <c r="T46" s="1">
        <f t="shared" si="5"/>
        <v>392.86</v>
      </c>
      <c r="U46" s="22">
        <f t="shared" si="6"/>
        <v>0.65620915032679739</v>
      </c>
      <c r="V46" s="22">
        <f t="shared" si="7"/>
        <v>0.95936507936507931</v>
      </c>
      <c r="W46" s="22">
        <f t="shared" si="8"/>
        <v>0.81573705179282874</v>
      </c>
      <c r="X46" s="1">
        <f t="shared" si="9"/>
        <v>0.51354248366013067</v>
      </c>
      <c r="Z46" s="5"/>
      <c r="AA46" s="5"/>
      <c r="AB46" s="5"/>
      <c r="AC46" s="5"/>
    </row>
    <row r="47" spans="1:29" x14ac:dyDescent="0.3">
      <c r="A47" s="2">
        <v>46</v>
      </c>
      <c r="B47" s="2" t="s">
        <v>3</v>
      </c>
      <c r="C47" s="2">
        <v>1676</v>
      </c>
      <c r="D47" s="10">
        <v>20</v>
      </c>
      <c r="E47" s="10">
        <v>11</v>
      </c>
      <c r="F47" s="9">
        <v>132</v>
      </c>
      <c r="G47" s="9">
        <v>30</v>
      </c>
      <c r="H47" s="7">
        <v>17</v>
      </c>
      <c r="I47" s="9">
        <v>25</v>
      </c>
      <c r="J47" s="7">
        <v>12</v>
      </c>
      <c r="K47" s="9">
        <v>33</v>
      </c>
      <c r="L47" s="9">
        <v>37</v>
      </c>
      <c r="N47" s="7">
        <v>13</v>
      </c>
      <c r="O47" s="8">
        <f t="shared" si="0"/>
        <v>150</v>
      </c>
      <c r="P47" s="1">
        <f t="shared" si="1"/>
        <v>960</v>
      </c>
      <c r="Q47" s="1">
        <f t="shared" si="2"/>
        <v>768</v>
      </c>
      <c r="R47" s="2">
        <f t="shared" si="3"/>
        <v>511</v>
      </c>
      <c r="S47" s="1">
        <f t="shared" si="4"/>
        <v>435.76</v>
      </c>
      <c r="T47" s="1">
        <f t="shared" si="5"/>
        <v>427.7</v>
      </c>
      <c r="U47" s="22">
        <f t="shared" si="6"/>
        <v>0.66536458333333337</v>
      </c>
      <c r="V47" s="22">
        <f t="shared" si="7"/>
        <v>0.98150357995226734</v>
      </c>
      <c r="W47" s="22">
        <f t="shared" si="8"/>
        <v>0.85275929549902152</v>
      </c>
      <c r="X47" s="1">
        <f t="shared" si="9"/>
        <v>0.55690104166666676</v>
      </c>
      <c r="Z47" s="5"/>
      <c r="AA47" s="5"/>
      <c r="AB47" s="5"/>
      <c r="AC47" s="5"/>
    </row>
    <row r="48" spans="1:29" x14ac:dyDescent="0.3">
      <c r="A48" s="2">
        <v>47</v>
      </c>
      <c r="B48" s="2" t="s">
        <v>3</v>
      </c>
      <c r="C48" s="2">
        <v>1744</v>
      </c>
      <c r="D48" s="10">
        <v>22</v>
      </c>
      <c r="E48" s="10">
        <v>19</v>
      </c>
      <c r="F48" s="9">
        <v>132</v>
      </c>
      <c r="G48" s="9">
        <v>30</v>
      </c>
      <c r="H48" s="7">
        <v>18</v>
      </c>
      <c r="I48" s="9">
        <v>34</v>
      </c>
      <c r="J48" s="7">
        <v>8</v>
      </c>
      <c r="L48" s="9">
        <v>26</v>
      </c>
      <c r="N48" s="7">
        <v>16</v>
      </c>
      <c r="O48" s="8">
        <f t="shared" si="0"/>
        <v>150</v>
      </c>
      <c r="P48" s="1">
        <f t="shared" si="1"/>
        <v>960</v>
      </c>
      <c r="Q48" s="1">
        <f t="shared" si="2"/>
        <v>768</v>
      </c>
      <c r="R48" s="2">
        <f t="shared" si="3"/>
        <v>546</v>
      </c>
      <c r="S48" s="1">
        <f t="shared" si="4"/>
        <v>453.44</v>
      </c>
      <c r="T48" s="1">
        <f t="shared" si="5"/>
        <v>442.78000000000003</v>
      </c>
      <c r="U48" s="22">
        <f t="shared" si="6"/>
        <v>0.7109375</v>
      </c>
      <c r="V48" s="22">
        <f t="shared" si="7"/>
        <v>0.97649082568807344</v>
      </c>
      <c r="W48" s="22">
        <f t="shared" si="8"/>
        <v>0.83047619047619048</v>
      </c>
      <c r="X48" s="1">
        <f t="shared" si="9"/>
        <v>0.57653645833333345</v>
      </c>
      <c r="Z48" s="5"/>
      <c r="AA48" s="5"/>
      <c r="AB48" s="5"/>
      <c r="AC48" s="5"/>
    </row>
    <row r="49" spans="1:29" x14ac:dyDescent="0.3">
      <c r="A49" s="2">
        <v>48</v>
      </c>
      <c r="B49" s="2" t="s">
        <v>3</v>
      </c>
      <c r="C49" s="2">
        <v>1702</v>
      </c>
      <c r="D49" s="10">
        <v>29</v>
      </c>
      <c r="E49" s="10">
        <v>31</v>
      </c>
      <c r="F49" s="9">
        <v>165</v>
      </c>
      <c r="G49" s="9">
        <v>41</v>
      </c>
      <c r="H49" s="7">
        <v>15</v>
      </c>
      <c r="I49" s="9">
        <v>26</v>
      </c>
      <c r="J49" s="7">
        <v>10</v>
      </c>
      <c r="L49" s="9">
        <v>36</v>
      </c>
      <c r="N49" s="7">
        <v>17</v>
      </c>
      <c r="O49" s="8">
        <f t="shared" si="0"/>
        <v>150</v>
      </c>
      <c r="P49" s="1">
        <f t="shared" si="1"/>
        <v>960</v>
      </c>
      <c r="Q49" s="1">
        <f t="shared" si="2"/>
        <v>768</v>
      </c>
      <c r="R49" s="2">
        <f t="shared" si="3"/>
        <v>500</v>
      </c>
      <c r="S49" s="1">
        <f t="shared" si="4"/>
        <v>442.52000000000004</v>
      </c>
      <c r="T49" s="1">
        <f t="shared" si="5"/>
        <v>426.92</v>
      </c>
      <c r="U49" s="22">
        <f t="shared" si="6"/>
        <v>0.65104166666666663</v>
      </c>
      <c r="V49" s="22">
        <f t="shared" si="7"/>
        <v>0.96474735605170392</v>
      </c>
      <c r="W49" s="22">
        <f t="shared" si="8"/>
        <v>0.88504000000000005</v>
      </c>
      <c r="X49" s="1">
        <f t="shared" si="9"/>
        <v>0.55588541666666669</v>
      </c>
      <c r="Z49" s="5"/>
      <c r="AA49" s="5"/>
      <c r="AB49" s="5"/>
      <c r="AC49" s="5"/>
    </row>
    <row r="50" spans="1:29" x14ac:dyDescent="0.3">
      <c r="A50" s="2">
        <v>49</v>
      </c>
      <c r="B50" s="2" t="s">
        <v>5</v>
      </c>
      <c r="C50" s="2">
        <v>1594</v>
      </c>
      <c r="D50" s="10">
        <v>10</v>
      </c>
      <c r="E50" s="10">
        <v>46</v>
      </c>
      <c r="F50" s="9">
        <v>168</v>
      </c>
      <c r="G50" s="9">
        <v>23</v>
      </c>
      <c r="H50" s="7">
        <v>16</v>
      </c>
      <c r="I50" s="9">
        <v>44</v>
      </c>
      <c r="J50" s="7">
        <v>10</v>
      </c>
      <c r="K50" s="9">
        <v>34</v>
      </c>
      <c r="L50" s="9">
        <v>33</v>
      </c>
      <c r="N50" s="7">
        <v>19</v>
      </c>
      <c r="O50" s="8">
        <f t="shared" si="0"/>
        <v>150</v>
      </c>
      <c r="P50" s="1">
        <f t="shared" si="1"/>
        <v>960</v>
      </c>
      <c r="Q50" s="1">
        <f t="shared" si="2"/>
        <v>765</v>
      </c>
      <c r="R50" s="2">
        <f t="shared" si="3"/>
        <v>463</v>
      </c>
      <c r="S50" s="1">
        <f t="shared" si="4"/>
        <v>414.44</v>
      </c>
      <c r="T50" s="1">
        <f t="shared" si="5"/>
        <v>399.88</v>
      </c>
      <c r="U50" s="22">
        <f t="shared" si="6"/>
        <v>0.6052287581699346</v>
      </c>
      <c r="V50" s="22">
        <f t="shared" si="7"/>
        <v>0.96486825595984949</v>
      </c>
      <c r="W50" s="22">
        <f t="shared" si="8"/>
        <v>0.89511879049676024</v>
      </c>
      <c r="X50" s="1">
        <f t="shared" si="9"/>
        <v>0.52271895424836601</v>
      </c>
      <c r="Z50" s="5"/>
      <c r="AA50" s="5"/>
      <c r="AB50" s="5"/>
      <c r="AC50" s="5"/>
    </row>
    <row r="51" spans="1:29" x14ac:dyDescent="0.3">
      <c r="A51" s="2">
        <v>50</v>
      </c>
      <c r="B51" s="2" t="s">
        <v>4</v>
      </c>
      <c r="C51" s="2">
        <v>1643</v>
      </c>
      <c r="D51" s="10">
        <v>25</v>
      </c>
      <c r="E51" s="10">
        <v>19</v>
      </c>
      <c r="F51" s="9">
        <v>119</v>
      </c>
      <c r="G51" s="9">
        <v>34</v>
      </c>
      <c r="H51" s="7">
        <v>20</v>
      </c>
      <c r="I51" s="9">
        <v>45</v>
      </c>
      <c r="J51" s="7">
        <v>7</v>
      </c>
      <c r="K51" s="9">
        <v>20</v>
      </c>
      <c r="L51" s="9">
        <v>28</v>
      </c>
      <c r="M51" s="7">
        <v>20</v>
      </c>
      <c r="N51" s="7">
        <v>19</v>
      </c>
      <c r="O51" s="8">
        <f t="shared" si="0"/>
        <v>150</v>
      </c>
      <c r="P51" s="1">
        <f t="shared" si="1"/>
        <v>960</v>
      </c>
      <c r="Q51" s="1">
        <f t="shared" si="2"/>
        <v>744</v>
      </c>
      <c r="R51" s="2">
        <f t="shared" si="3"/>
        <v>498</v>
      </c>
      <c r="S51" s="1">
        <f t="shared" si="4"/>
        <v>427.18</v>
      </c>
      <c r="T51" s="1">
        <f t="shared" si="5"/>
        <v>415.74</v>
      </c>
      <c r="U51" s="22">
        <f t="shared" si="6"/>
        <v>0.66935483870967738</v>
      </c>
      <c r="V51" s="22">
        <f t="shared" si="7"/>
        <v>0.97321972002434576</v>
      </c>
      <c r="W51" s="22">
        <f t="shared" si="8"/>
        <v>0.85779116465863459</v>
      </c>
      <c r="X51" s="1">
        <f t="shared" si="9"/>
        <v>0.5587903225806452</v>
      </c>
      <c r="Z51" s="5"/>
      <c r="AA51" s="5"/>
      <c r="AB51" s="5"/>
      <c r="AC51" s="5"/>
    </row>
    <row r="52" spans="1:29" x14ac:dyDescent="0.3">
      <c r="A52" s="2">
        <v>51</v>
      </c>
      <c r="B52" s="2" t="s">
        <v>3</v>
      </c>
      <c r="C52" s="2">
        <v>1670</v>
      </c>
      <c r="D52" s="10">
        <v>16</v>
      </c>
      <c r="E52" s="10">
        <v>39</v>
      </c>
      <c r="F52" s="9">
        <v>136</v>
      </c>
      <c r="G52" s="9">
        <v>34</v>
      </c>
      <c r="H52" s="7">
        <v>15</v>
      </c>
      <c r="I52" s="9">
        <v>38</v>
      </c>
      <c r="J52" s="7">
        <v>11</v>
      </c>
      <c r="K52" s="9">
        <v>27</v>
      </c>
      <c r="L52" s="9">
        <v>33</v>
      </c>
      <c r="N52" s="7">
        <v>14</v>
      </c>
      <c r="O52" s="8">
        <f t="shared" si="0"/>
        <v>150</v>
      </c>
      <c r="P52" s="1">
        <f t="shared" si="1"/>
        <v>960</v>
      </c>
      <c r="Q52" s="1">
        <f t="shared" si="2"/>
        <v>770</v>
      </c>
      <c r="R52" s="2">
        <f t="shared" si="3"/>
        <v>502</v>
      </c>
      <c r="S52" s="1">
        <f t="shared" si="4"/>
        <v>434.2</v>
      </c>
      <c r="T52" s="1">
        <f t="shared" si="5"/>
        <v>419.90000000000003</v>
      </c>
      <c r="U52" s="22">
        <f t="shared" si="6"/>
        <v>0.65194805194805194</v>
      </c>
      <c r="V52" s="22">
        <f t="shared" si="7"/>
        <v>0.96706586826347307</v>
      </c>
      <c r="W52" s="22">
        <f t="shared" si="8"/>
        <v>0.86494023904382467</v>
      </c>
      <c r="X52" s="1">
        <f t="shared" si="9"/>
        <v>0.54532467532467532</v>
      </c>
      <c r="Z52" s="5"/>
      <c r="AA52" s="5"/>
      <c r="AB52" s="5"/>
      <c r="AC52" s="5"/>
    </row>
    <row r="53" spans="1:29" x14ac:dyDescent="0.3">
      <c r="A53" s="2">
        <v>52</v>
      </c>
      <c r="B53" s="2" t="s">
        <v>2</v>
      </c>
      <c r="C53" s="2">
        <v>1774</v>
      </c>
      <c r="D53" s="10">
        <v>26</v>
      </c>
      <c r="E53" s="10">
        <v>28</v>
      </c>
      <c r="F53" s="9">
        <v>143</v>
      </c>
      <c r="G53" s="9">
        <v>23</v>
      </c>
      <c r="H53" s="7">
        <v>17</v>
      </c>
      <c r="I53" s="9">
        <v>40</v>
      </c>
      <c r="J53" s="7">
        <v>8</v>
      </c>
      <c r="K53" s="9">
        <v>38</v>
      </c>
      <c r="L53" s="9">
        <v>34</v>
      </c>
      <c r="N53" s="7">
        <v>14</v>
      </c>
      <c r="O53" s="8">
        <f t="shared" si="0"/>
        <v>150</v>
      </c>
      <c r="P53" s="1">
        <f t="shared" si="1"/>
        <v>960</v>
      </c>
      <c r="Q53" s="1">
        <f t="shared" si="2"/>
        <v>771</v>
      </c>
      <c r="R53" s="2">
        <f t="shared" si="3"/>
        <v>493</v>
      </c>
      <c r="S53" s="1">
        <f t="shared" si="4"/>
        <v>461.24</v>
      </c>
      <c r="T53" s="1">
        <f t="shared" si="5"/>
        <v>447.2</v>
      </c>
      <c r="U53" s="22">
        <f t="shared" si="6"/>
        <v>0.6394293125810635</v>
      </c>
      <c r="V53" s="22">
        <f t="shared" si="7"/>
        <v>0.96956031567080048</v>
      </c>
      <c r="W53" s="22">
        <f t="shared" si="8"/>
        <v>0.93557809330628805</v>
      </c>
      <c r="X53" s="1">
        <f t="shared" si="9"/>
        <v>0.58002594033722443</v>
      </c>
      <c r="Z53" s="5"/>
      <c r="AA53" s="5"/>
      <c r="AB53" s="5"/>
      <c r="AC53" s="5"/>
    </row>
    <row r="54" spans="1:29" x14ac:dyDescent="0.3">
      <c r="A54" s="2">
        <v>53</v>
      </c>
      <c r="B54" s="2" t="s">
        <v>4</v>
      </c>
      <c r="C54" s="2">
        <v>1548</v>
      </c>
      <c r="D54" s="10">
        <v>24</v>
      </c>
      <c r="E54" s="10">
        <v>39</v>
      </c>
      <c r="F54" s="9">
        <v>143</v>
      </c>
      <c r="G54" s="9">
        <v>43</v>
      </c>
      <c r="H54" s="7">
        <v>20</v>
      </c>
      <c r="I54" s="9">
        <v>31</v>
      </c>
      <c r="J54" s="7">
        <v>10</v>
      </c>
      <c r="K54" s="9">
        <v>27</v>
      </c>
      <c r="L54" s="9">
        <v>28</v>
      </c>
      <c r="N54" s="7">
        <v>17</v>
      </c>
      <c r="O54" s="8">
        <f t="shared" si="0"/>
        <v>150</v>
      </c>
      <c r="P54" s="1">
        <f t="shared" si="1"/>
        <v>960</v>
      </c>
      <c r="Q54" s="1">
        <f t="shared" si="2"/>
        <v>763</v>
      </c>
      <c r="R54" s="2">
        <f t="shared" si="3"/>
        <v>491</v>
      </c>
      <c r="S54" s="1">
        <f t="shared" si="4"/>
        <v>402.48</v>
      </c>
      <c r="T54" s="1">
        <f t="shared" si="5"/>
        <v>386.1</v>
      </c>
      <c r="U54" s="22">
        <f t="shared" si="6"/>
        <v>0.64351245085190034</v>
      </c>
      <c r="V54" s="22">
        <f t="shared" si="7"/>
        <v>0.95930232558139539</v>
      </c>
      <c r="W54" s="22">
        <f t="shared" si="8"/>
        <v>0.81971486761710799</v>
      </c>
      <c r="X54" s="1">
        <f t="shared" si="9"/>
        <v>0.50602883355176931</v>
      </c>
      <c r="Z54" s="5"/>
      <c r="AA54" s="5"/>
      <c r="AB54" s="5"/>
      <c r="AC54" s="5"/>
    </row>
    <row r="55" spans="1:29" x14ac:dyDescent="0.3">
      <c r="A55" s="2">
        <v>54</v>
      </c>
      <c r="B55" s="2" t="s">
        <v>3</v>
      </c>
      <c r="C55" s="2">
        <v>1607</v>
      </c>
      <c r="D55" s="10">
        <v>24</v>
      </c>
      <c r="E55" s="10">
        <v>19</v>
      </c>
      <c r="F55" s="9">
        <v>156</v>
      </c>
      <c r="G55" s="9">
        <v>33</v>
      </c>
      <c r="H55" s="7">
        <v>16</v>
      </c>
      <c r="I55" s="9">
        <v>37</v>
      </c>
      <c r="J55" s="7">
        <v>10</v>
      </c>
      <c r="K55" s="9">
        <v>35</v>
      </c>
      <c r="L55" s="9">
        <v>33</v>
      </c>
      <c r="N55" s="7">
        <v>13</v>
      </c>
      <c r="O55" s="8">
        <f t="shared" si="0"/>
        <v>150</v>
      </c>
      <c r="P55" s="1">
        <f t="shared" si="1"/>
        <v>960</v>
      </c>
      <c r="Q55" s="1">
        <f t="shared" si="2"/>
        <v>771</v>
      </c>
      <c r="R55" s="2">
        <f t="shared" si="3"/>
        <v>477</v>
      </c>
      <c r="S55" s="1">
        <f t="shared" si="4"/>
        <v>417.82</v>
      </c>
      <c r="T55" s="1">
        <f t="shared" si="5"/>
        <v>406.64</v>
      </c>
      <c r="U55" s="22">
        <f t="shared" si="6"/>
        <v>0.61867704280155644</v>
      </c>
      <c r="V55" s="22">
        <f t="shared" si="7"/>
        <v>0.97324206596141882</v>
      </c>
      <c r="W55" s="22">
        <f t="shared" si="8"/>
        <v>0.87593291404612161</v>
      </c>
      <c r="X55" s="1">
        <f t="shared" si="9"/>
        <v>0.52741893644617377</v>
      </c>
      <c r="Z55" s="5"/>
      <c r="AA55" s="5"/>
      <c r="AB55" s="5"/>
      <c r="AC55" s="5"/>
    </row>
    <row r="56" spans="1:29" x14ac:dyDescent="0.3">
      <c r="A56" s="2">
        <v>55</v>
      </c>
      <c r="B56" s="2" t="s">
        <v>5</v>
      </c>
      <c r="C56" s="2">
        <v>1610</v>
      </c>
      <c r="D56" s="10">
        <v>11</v>
      </c>
      <c r="E56" s="10">
        <v>37</v>
      </c>
      <c r="F56" s="9">
        <v>160</v>
      </c>
      <c r="G56" s="9">
        <v>35</v>
      </c>
      <c r="H56" s="7">
        <v>19</v>
      </c>
      <c r="I56" s="9">
        <v>43</v>
      </c>
      <c r="J56" s="7">
        <v>7</v>
      </c>
      <c r="K56" s="9">
        <v>29</v>
      </c>
      <c r="L56" s="9">
        <v>34</v>
      </c>
      <c r="N56" s="7">
        <v>12</v>
      </c>
      <c r="O56" s="8">
        <f t="shared" si="0"/>
        <v>150</v>
      </c>
      <c r="P56" s="1">
        <f t="shared" si="1"/>
        <v>960</v>
      </c>
      <c r="Q56" s="1">
        <f t="shared" si="2"/>
        <v>772</v>
      </c>
      <c r="R56" s="2">
        <f t="shared" si="3"/>
        <v>471</v>
      </c>
      <c r="S56" s="1">
        <f t="shared" si="4"/>
        <v>418.6</v>
      </c>
      <c r="T56" s="1">
        <f t="shared" si="5"/>
        <v>406.12</v>
      </c>
      <c r="U56" s="22">
        <f t="shared" si="6"/>
        <v>0.61010362694300513</v>
      </c>
      <c r="V56" s="22">
        <f t="shared" si="7"/>
        <v>0.97018633540372667</v>
      </c>
      <c r="W56" s="22">
        <f t="shared" si="8"/>
        <v>0.88874734607218686</v>
      </c>
      <c r="X56" s="1">
        <f t="shared" si="9"/>
        <v>0.52606217616580309</v>
      </c>
      <c r="Z56" s="5"/>
      <c r="AA56" s="5"/>
      <c r="AB56" s="5"/>
      <c r="AC56" s="5"/>
    </row>
    <row r="57" spans="1:29" x14ac:dyDescent="0.3">
      <c r="A57" s="2">
        <v>56</v>
      </c>
      <c r="B57" s="2" t="s">
        <v>5</v>
      </c>
      <c r="C57" s="2">
        <v>1579</v>
      </c>
      <c r="D57" s="10">
        <v>22</v>
      </c>
      <c r="E57" s="10">
        <v>48</v>
      </c>
      <c r="F57" s="9">
        <v>167</v>
      </c>
      <c r="G57" s="9">
        <v>31</v>
      </c>
      <c r="H57" s="7">
        <v>15</v>
      </c>
      <c r="I57" s="9">
        <v>48</v>
      </c>
      <c r="J57" s="7">
        <v>8</v>
      </c>
      <c r="L57" s="9">
        <v>31</v>
      </c>
      <c r="N57" s="7">
        <v>18</v>
      </c>
      <c r="O57" s="8">
        <f t="shared" si="0"/>
        <v>150</v>
      </c>
      <c r="P57" s="1">
        <f t="shared" si="1"/>
        <v>960</v>
      </c>
      <c r="Q57" s="1">
        <f t="shared" si="2"/>
        <v>769</v>
      </c>
      <c r="R57" s="2">
        <f t="shared" si="3"/>
        <v>492</v>
      </c>
      <c r="S57" s="1">
        <f t="shared" si="4"/>
        <v>410.54</v>
      </c>
      <c r="T57" s="1">
        <f t="shared" si="5"/>
        <v>392.34000000000003</v>
      </c>
      <c r="U57" s="22">
        <f t="shared" si="6"/>
        <v>0.63979193758127439</v>
      </c>
      <c r="V57" s="22">
        <f t="shared" si="7"/>
        <v>0.95566814439518688</v>
      </c>
      <c r="W57" s="22">
        <f t="shared" si="8"/>
        <v>0.83443089430894313</v>
      </c>
      <c r="X57" s="1">
        <f t="shared" si="9"/>
        <v>0.51019505851755531</v>
      </c>
      <c r="Z57" s="5"/>
      <c r="AA57" s="5"/>
      <c r="AB57" s="5"/>
      <c r="AC57" s="5"/>
    </row>
    <row r="58" spans="1:29" x14ac:dyDescent="0.3">
      <c r="A58" s="2">
        <v>57</v>
      </c>
      <c r="B58" s="2" t="s">
        <v>5</v>
      </c>
      <c r="C58" s="2">
        <v>1596</v>
      </c>
      <c r="D58" s="10">
        <v>15</v>
      </c>
      <c r="E58" s="10">
        <v>8</v>
      </c>
      <c r="F58" s="9">
        <v>150</v>
      </c>
      <c r="G58" s="9">
        <v>37</v>
      </c>
      <c r="H58" s="7">
        <v>19</v>
      </c>
      <c r="I58" s="9">
        <v>39</v>
      </c>
      <c r="J58" s="7">
        <v>9</v>
      </c>
      <c r="L58" s="9">
        <v>30</v>
      </c>
      <c r="N58" s="7">
        <v>13</v>
      </c>
      <c r="O58" s="8">
        <f t="shared" si="0"/>
        <v>150</v>
      </c>
      <c r="P58" s="1">
        <f t="shared" si="1"/>
        <v>960</v>
      </c>
      <c r="Q58" s="1">
        <f t="shared" si="2"/>
        <v>769</v>
      </c>
      <c r="R58" s="2">
        <f t="shared" si="3"/>
        <v>513</v>
      </c>
      <c r="S58" s="1">
        <f t="shared" si="4"/>
        <v>414.96000000000004</v>
      </c>
      <c r="T58" s="1">
        <f t="shared" si="5"/>
        <v>408.98</v>
      </c>
      <c r="U58" s="22">
        <f t="shared" si="6"/>
        <v>0.6671001300390117</v>
      </c>
      <c r="V58" s="22">
        <f t="shared" si="7"/>
        <v>0.98558897243107768</v>
      </c>
      <c r="W58" s="22">
        <f t="shared" si="8"/>
        <v>0.80888888888888899</v>
      </c>
      <c r="X58" s="1">
        <f t="shared" si="9"/>
        <v>0.53183355006501953</v>
      </c>
      <c r="Z58" s="5"/>
      <c r="AA58" s="5"/>
      <c r="AB58" s="5"/>
      <c r="AC58" s="5"/>
    </row>
    <row r="59" spans="1:29" x14ac:dyDescent="0.3">
      <c r="A59" s="2">
        <v>58</v>
      </c>
      <c r="B59" s="2" t="s">
        <v>3</v>
      </c>
      <c r="C59" s="2">
        <v>1596</v>
      </c>
      <c r="D59" s="10">
        <v>23</v>
      </c>
      <c r="E59" s="10">
        <v>39</v>
      </c>
      <c r="F59" s="9">
        <v>155</v>
      </c>
      <c r="G59" s="9">
        <v>29</v>
      </c>
      <c r="H59" s="7">
        <v>19</v>
      </c>
      <c r="I59" s="9">
        <v>30</v>
      </c>
      <c r="J59" s="7">
        <v>8</v>
      </c>
      <c r="K59" s="9">
        <v>31</v>
      </c>
      <c r="L59" s="9">
        <v>30</v>
      </c>
      <c r="N59" s="7">
        <v>14</v>
      </c>
      <c r="O59" s="8">
        <f t="shared" si="0"/>
        <v>150</v>
      </c>
      <c r="P59" s="1">
        <f t="shared" si="1"/>
        <v>960</v>
      </c>
      <c r="Q59" s="1">
        <f t="shared" si="2"/>
        <v>769</v>
      </c>
      <c r="R59" s="2">
        <f t="shared" si="3"/>
        <v>494</v>
      </c>
      <c r="S59" s="1">
        <f t="shared" si="4"/>
        <v>414.96000000000004</v>
      </c>
      <c r="T59" s="1">
        <f t="shared" si="5"/>
        <v>398.84000000000003</v>
      </c>
      <c r="U59" s="22">
        <f t="shared" si="6"/>
        <v>0.64239271781534457</v>
      </c>
      <c r="V59" s="22">
        <f t="shared" si="7"/>
        <v>0.96115288220551376</v>
      </c>
      <c r="W59" s="22">
        <f t="shared" si="8"/>
        <v>0.84000000000000008</v>
      </c>
      <c r="X59" s="1">
        <f t="shared" si="9"/>
        <v>0.51864759427828355</v>
      </c>
      <c r="Z59" s="5"/>
      <c r="AA59" s="5"/>
      <c r="AB59" s="5"/>
      <c r="AC59" s="5"/>
    </row>
    <row r="60" spans="1:29" x14ac:dyDescent="0.3">
      <c r="A60" s="2">
        <v>59</v>
      </c>
      <c r="B60" s="2" t="s">
        <v>3</v>
      </c>
      <c r="C60" s="2">
        <v>1626</v>
      </c>
      <c r="D60" s="10">
        <v>22</v>
      </c>
      <c r="E60" s="10">
        <v>45</v>
      </c>
      <c r="F60" s="9">
        <v>175</v>
      </c>
      <c r="G60" s="9">
        <v>26</v>
      </c>
      <c r="H60" s="7">
        <v>18</v>
      </c>
      <c r="I60" s="9">
        <v>47</v>
      </c>
      <c r="J60" s="7">
        <v>12</v>
      </c>
      <c r="L60" s="9">
        <v>33</v>
      </c>
      <c r="N60" s="7">
        <v>18</v>
      </c>
      <c r="O60" s="8">
        <f t="shared" si="0"/>
        <v>150</v>
      </c>
      <c r="P60" s="1">
        <f t="shared" si="1"/>
        <v>960</v>
      </c>
      <c r="Q60" s="1">
        <f t="shared" si="2"/>
        <v>762</v>
      </c>
      <c r="R60" s="2">
        <f t="shared" si="3"/>
        <v>481</v>
      </c>
      <c r="S60" s="1">
        <f t="shared" si="4"/>
        <v>422.76</v>
      </c>
      <c r="T60" s="1">
        <f t="shared" si="5"/>
        <v>405.34000000000003</v>
      </c>
      <c r="U60" s="22">
        <f t="shared" si="6"/>
        <v>0.63123359580052496</v>
      </c>
      <c r="V60" s="22">
        <f t="shared" si="7"/>
        <v>0.95879458794587946</v>
      </c>
      <c r="W60" s="22">
        <f t="shared" si="8"/>
        <v>0.87891891891891893</v>
      </c>
      <c r="X60" s="1">
        <f t="shared" si="9"/>
        <v>0.53194225721784782</v>
      </c>
      <c r="Z60" s="5"/>
      <c r="AA60" s="5"/>
      <c r="AB60" s="5"/>
      <c r="AC60" s="5"/>
    </row>
    <row r="61" spans="1:29" x14ac:dyDescent="0.3">
      <c r="A61" s="2">
        <v>60</v>
      </c>
      <c r="B61" s="2" t="s">
        <v>5</v>
      </c>
      <c r="C61" s="2">
        <v>1567</v>
      </c>
      <c r="D61" s="10">
        <v>15</v>
      </c>
      <c r="E61" s="10">
        <v>46</v>
      </c>
      <c r="F61" s="9">
        <v>155</v>
      </c>
      <c r="G61" s="9">
        <v>34</v>
      </c>
      <c r="H61" s="7">
        <v>16</v>
      </c>
      <c r="I61" s="9">
        <v>29</v>
      </c>
      <c r="J61" s="7">
        <v>9</v>
      </c>
      <c r="K61" s="9">
        <v>26</v>
      </c>
      <c r="L61" s="9">
        <v>27</v>
      </c>
      <c r="M61" s="7">
        <v>40</v>
      </c>
      <c r="N61" s="7">
        <v>18</v>
      </c>
      <c r="O61" s="8">
        <f t="shared" si="0"/>
        <v>150</v>
      </c>
      <c r="P61" s="1">
        <f t="shared" si="1"/>
        <v>960</v>
      </c>
      <c r="Q61" s="1">
        <f t="shared" si="2"/>
        <v>727</v>
      </c>
      <c r="R61" s="2">
        <f t="shared" si="3"/>
        <v>456</v>
      </c>
      <c r="S61" s="1">
        <f t="shared" si="4"/>
        <v>407.42</v>
      </c>
      <c r="T61" s="1">
        <f t="shared" si="5"/>
        <v>391.56</v>
      </c>
      <c r="U61" s="22">
        <f t="shared" si="6"/>
        <v>0.6272352132049519</v>
      </c>
      <c r="V61" s="22">
        <f t="shared" si="7"/>
        <v>0.96107211231652845</v>
      </c>
      <c r="W61" s="22">
        <f t="shared" si="8"/>
        <v>0.8934649122807018</v>
      </c>
      <c r="X61" s="1">
        <f t="shared" si="9"/>
        <v>0.53859697386519956</v>
      </c>
      <c r="Z61" s="5"/>
      <c r="AA61" s="5"/>
      <c r="AB61" s="5"/>
      <c r="AC61" s="5"/>
    </row>
    <row r="62" spans="1:29" x14ac:dyDescent="0.3">
      <c r="A62" s="2">
        <v>61</v>
      </c>
      <c r="B62" s="2" t="s">
        <v>4</v>
      </c>
      <c r="C62" s="2">
        <v>1702</v>
      </c>
      <c r="D62" s="10">
        <v>19</v>
      </c>
      <c r="E62" s="10">
        <v>38</v>
      </c>
      <c r="F62" s="9">
        <v>147</v>
      </c>
      <c r="G62" s="9">
        <v>38</v>
      </c>
      <c r="H62" s="7">
        <v>16</v>
      </c>
      <c r="I62" s="9">
        <v>23</v>
      </c>
      <c r="J62" s="7">
        <v>5</v>
      </c>
      <c r="K62" s="9">
        <v>16</v>
      </c>
      <c r="L62" s="9">
        <v>30</v>
      </c>
      <c r="N62" s="7">
        <v>14</v>
      </c>
      <c r="O62" s="8">
        <f t="shared" si="0"/>
        <v>150</v>
      </c>
      <c r="P62" s="1">
        <f t="shared" si="1"/>
        <v>960</v>
      </c>
      <c r="Q62" s="1">
        <f t="shared" si="2"/>
        <v>775</v>
      </c>
      <c r="R62" s="2">
        <f t="shared" si="3"/>
        <v>521</v>
      </c>
      <c r="S62" s="1">
        <f t="shared" si="4"/>
        <v>442.52000000000004</v>
      </c>
      <c r="T62" s="1">
        <f t="shared" si="5"/>
        <v>427.7</v>
      </c>
      <c r="U62" s="22">
        <f t="shared" si="6"/>
        <v>0.67225806451612902</v>
      </c>
      <c r="V62" s="22">
        <f t="shared" si="7"/>
        <v>0.96650998824911871</v>
      </c>
      <c r="W62" s="22">
        <f t="shared" si="8"/>
        <v>0.84936660268714015</v>
      </c>
      <c r="X62" s="1">
        <f t="shared" si="9"/>
        <v>0.55187096774193556</v>
      </c>
      <c r="Z62" s="5"/>
      <c r="AA62" s="5"/>
      <c r="AB62" s="5"/>
      <c r="AC62" s="5"/>
    </row>
    <row r="63" spans="1:29" x14ac:dyDescent="0.3">
      <c r="A63" s="2">
        <v>62</v>
      </c>
      <c r="B63" s="2" t="s">
        <v>3</v>
      </c>
      <c r="C63" s="2">
        <v>1590</v>
      </c>
      <c r="D63" s="10">
        <v>10</v>
      </c>
      <c r="E63" s="10">
        <v>26</v>
      </c>
      <c r="F63" s="9">
        <v>148</v>
      </c>
      <c r="G63" s="9">
        <v>38</v>
      </c>
      <c r="H63" s="7">
        <v>15</v>
      </c>
      <c r="I63" s="9">
        <v>35</v>
      </c>
      <c r="J63" s="7">
        <v>7</v>
      </c>
      <c r="K63" s="9">
        <v>16</v>
      </c>
      <c r="L63" s="9">
        <v>34</v>
      </c>
      <c r="N63" s="7">
        <v>16</v>
      </c>
      <c r="O63" s="8">
        <f t="shared" si="0"/>
        <v>150</v>
      </c>
      <c r="P63" s="1">
        <f t="shared" si="1"/>
        <v>960</v>
      </c>
      <c r="Q63" s="1">
        <f t="shared" si="2"/>
        <v>772</v>
      </c>
      <c r="R63" s="2">
        <f t="shared" si="3"/>
        <v>501</v>
      </c>
      <c r="S63" s="1">
        <f t="shared" si="4"/>
        <v>413.40000000000003</v>
      </c>
      <c r="T63" s="1">
        <f t="shared" si="5"/>
        <v>404.04</v>
      </c>
      <c r="U63" s="22">
        <f t="shared" si="6"/>
        <v>0.64896373056994816</v>
      </c>
      <c r="V63" s="22">
        <f t="shared" si="7"/>
        <v>0.97735849056603774</v>
      </c>
      <c r="W63" s="22">
        <f t="shared" si="8"/>
        <v>0.82514970059880244</v>
      </c>
      <c r="X63" s="1">
        <f t="shared" si="9"/>
        <v>0.5233678756476684</v>
      </c>
      <c r="Z63" s="5"/>
      <c r="AA63" s="5"/>
      <c r="AB63" s="5"/>
      <c r="AC63" s="5"/>
    </row>
    <row r="64" spans="1:29" x14ac:dyDescent="0.3">
      <c r="A64" s="2">
        <v>63</v>
      </c>
      <c r="B64" s="2" t="s">
        <v>3</v>
      </c>
      <c r="C64" s="2">
        <v>1588</v>
      </c>
      <c r="D64" s="10">
        <v>18</v>
      </c>
      <c r="E64" s="10">
        <v>10</v>
      </c>
      <c r="F64" s="9">
        <v>136</v>
      </c>
      <c r="G64" s="9">
        <v>38</v>
      </c>
      <c r="H64" s="7">
        <v>20</v>
      </c>
      <c r="I64" s="9">
        <v>28</v>
      </c>
      <c r="J64" s="7">
        <v>8</v>
      </c>
      <c r="L64" s="9">
        <v>36</v>
      </c>
      <c r="N64" s="7">
        <v>17</v>
      </c>
      <c r="O64" s="8">
        <f t="shared" si="0"/>
        <v>150</v>
      </c>
      <c r="P64" s="1">
        <f t="shared" si="1"/>
        <v>960</v>
      </c>
      <c r="Q64" s="1">
        <f t="shared" si="2"/>
        <v>765</v>
      </c>
      <c r="R64" s="2">
        <f t="shared" si="3"/>
        <v>527</v>
      </c>
      <c r="S64" s="1">
        <f t="shared" si="4"/>
        <v>412.88</v>
      </c>
      <c r="T64" s="1">
        <f t="shared" si="5"/>
        <v>405.6</v>
      </c>
      <c r="U64" s="22">
        <f t="shared" si="6"/>
        <v>0.68888888888888888</v>
      </c>
      <c r="V64" s="22">
        <f t="shared" si="7"/>
        <v>0.98236775818639799</v>
      </c>
      <c r="W64" s="22">
        <f t="shared" si="8"/>
        <v>0.78345351043643263</v>
      </c>
      <c r="X64" s="1">
        <f t="shared" si="9"/>
        <v>0.53019607843137251</v>
      </c>
      <c r="Z64" s="5"/>
      <c r="AA64" s="5"/>
      <c r="AB64" s="5"/>
      <c r="AC64" s="5"/>
    </row>
    <row r="65" spans="1:29" x14ac:dyDescent="0.3">
      <c r="A65" s="2">
        <v>64</v>
      </c>
      <c r="B65" s="2" t="s">
        <v>5</v>
      </c>
      <c r="C65" s="2">
        <v>1651</v>
      </c>
      <c r="D65" s="10">
        <v>15</v>
      </c>
      <c r="E65" s="10">
        <v>40</v>
      </c>
      <c r="F65" s="9">
        <v>131</v>
      </c>
      <c r="G65" s="9">
        <v>33</v>
      </c>
      <c r="H65" s="7">
        <v>20</v>
      </c>
      <c r="I65" s="9">
        <v>35</v>
      </c>
      <c r="J65" s="7">
        <v>8</v>
      </c>
      <c r="K65" s="9">
        <v>18</v>
      </c>
      <c r="L65" s="9">
        <v>33</v>
      </c>
      <c r="N65" s="7">
        <v>14</v>
      </c>
      <c r="O65" s="8">
        <f t="shared" si="0"/>
        <v>150</v>
      </c>
      <c r="P65" s="1">
        <f t="shared" si="1"/>
        <v>960</v>
      </c>
      <c r="Q65" s="1">
        <f t="shared" si="2"/>
        <v>768</v>
      </c>
      <c r="R65" s="2">
        <f t="shared" si="3"/>
        <v>518</v>
      </c>
      <c r="S65" s="1">
        <f t="shared" si="4"/>
        <v>429.26</v>
      </c>
      <c r="T65" s="1">
        <f t="shared" si="5"/>
        <v>414.96000000000004</v>
      </c>
      <c r="U65" s="22">
        <f t="shared" si="6"/>
        <v>0.67447916666666663</v>
      </c>
      <c r="V65" s="22">
        <f t="shared" si="7"/>
        <v>0.96668685645063601</v>
      </c>
      <c r="W65" s="22">
        <f t="shared" si="8"/>
        <v>0.82868725868725868</v>
      </c>
      <c r="X65" s="1">
        <f t="shared" si="9"/>
        <v>0.54031249999999997</v>
      </c>
      <c r="Z65" s="5"/>
      <c r="AA65" s="5"/>
      <c r="AB65" s="5"/>
      <c r="AC65" s="5"/>
    </row>
    <row r="66" spans="1:29" x14ac:dyDescent="0.3">
      <c r="A66" s="2">
        <v>65</v>
      </c>
      <c r="B66" s="2" t="s">
        <v>4</v>
      </c>
      <c r="C66" s="2">
        <v>1728</v>
      </c>
      <c r="D66" s="10">
        <v>16</v>
      </c>
      <c r="E66" s="10">
        <v>45</v>
      </c>
      <c r="F66" s="9">
        <v>140</v>
      </c>
      <c r="G66" s="9">
        <v>34</v>
      </c>
      <c r="H66" s="7">
        <v>15</v>
      </c>
      <c r="I66" s="9">
        <v>44</v>
      </c>
      <c r="J66" s="7">
        <v>12</v>
      </c>
      <c r="K66" s="9">
        <v>34</v>
      </c>
      <c r="L66" s="9">
        <v>35</v>
      </c>
      <c r="N66" s="7">
        <v>18</v>
      </c>
      <c r="O66" s="8">
        <f t="shared" si="0"/>
        <v>150</v>
      </c>
      <c r="P66" s="1">
        <f t="shared" si="1"/>
        <v>960</v>
      </c>
      <c r="Q66" s="1">
        <f t="shared" si="2"/>
        <v>765</v>
      </c>
      <c r="R66" s="2">
        <f t="shared" si="3"/>
        <v>478</v>
      </c>
      <c r="S66" s="1">
        <f t="shared" si="4"/>
        <v>449.28000000000003</v>
      </c>
      <c r="T66" s="1">
        <f t="shared" si="5"/>
        <v>433.42</v>
      </c>
      <c r="U66" s="22">
        <f t="shared" si="6"/>
        <v>0.62483660130718954</v>
      </c>
      <c r="V66" s="22">
        <f t="shared" si="7"/>
        <v>0.96469907407407407</v>
      </c>
      <c r="W66" s="22">
        <f t="shared" si="8"/>
        <v>0.93991631799163189</v>
      </c>
      <c r="X66" s="1">
        <f t="shared" si="9"/>
        <v>0.56656209150326797</v>
      </c>
      <c r="Z66" s="5"/>
      <c r="AA66" s="5"/>
      <c r="AB66" s="5"/>
      <c r="AC66" s="5"/>
    </row>
    <row r="67" spans="1:29" x14ac:dyDescent="0.3">
      <c r="A67" s="2">
        <v>66</v>
      </c>
      <c r="B67" s="2" t="s">
        <v>3</v>
      </c>
      <c r="C67" s="2">
        <v>1615</v>
      </c>
      <c r="D67" s="10">
        <v>27</v>
      </c>
      <c r="E67" s="10">
        <v>13</v>
      </c>
      <c r="F67" s="9">
        <v>148</v>
      </c>
      <c r="G67" s="9">
        <v>28</v>
      </c>
      <c r="H67" s="7">
        <v>15</v>
      </c>
      <c r="I67" s="9">
        <v>41</v>
      </c>
      <c r="J67" s="7">
        <v>7</v>
      </c>
      <c r="K67" s="9">
        <v>18</v>
      </c>
      <c r="L67" s="9">
        <v>27</v>
      </c>
      <c r="N67" s="7">
        <v>17</v>
      </c>
      <c r="O67" s="8">
        <f t="shared" ref="O67:O130" si="10">37500/250</f>
        <v>150</v>
      </c>
      <c r="P67" s="1">
        <f t="shared" ref="P67:P130" si="11">4000*60/250</f>
        <v>960</v>
      </c>
      <c r="Q67" s="1">
        <f t="shared" ref="Q67:Q130" si="12">P67-H67-J67-M67-N67-O67</f>
        <v>771</v>
      </c>
      <c r="R67" s="2">
        <f t="shared" ref="R67:R130" si="13">Q67-F67-G67-I67-K67-L67</f>
        <v>509</v>
      </c>
      <c r="S67" s="1">
        <f t="shared" ref="S67:S130" si="14">C67*0.26</f>
        <v>419.90000000000003</v>
      </c>
      <c r="T67" s="1">
        <f t="shared" ref="T67:T130" si="15">(C67-D67-E67)*0.26</f>
        <v>409.5</v>
      </c>
      <c r="U67" s="22">
        <f t="shared" ref="U67:U130" si="16">R67/Q67</f>
        <v>0.66018158236057067</v>
      </c>
      <c r="V67" s="22">
        <f t="shared" ref="V67:V130" si="17">(C67-D67-E67)/C67</f>
        <v>0.97523219814241491</v>
      </c>
      <c r="W67" s="22">
        <f t="shared" ref="W67:W130" si="18">S67/R67</f>
        <v>0.82495088408644413</v>
      </c>
      <c r="X67" s="1">
        <f t="shared" ref="X67:X130" si="19">U67*V67*W67</f>
        <v>0.5311284046692607</v>
      </c>
      <c r="Z67" s="5"/>
      <c r="AA67" s="5"/>
      <c r="AB67" s="5"/>
      <c r="AC67" s="5"/>
    </row>
    <row r="68" spans="1:29" x14ac:dyDescent="0.3">
      <c r="A68" s="2">
        <v>67</v>
      </c>
      <c r="B68" s="2" t="s">
        <v>2</v>
      </c>
      <c r="C68" s="2">
        <v>1551</v>
      </c>
      <c r="D68" s="10">
        <v>30</v>
      </c>
      <c r="E68" s="10">
        <v>6</v>
      </c>
      <c r="F68" s="9">
        <v>163</v>
      </c>
      <c r="G68" s="9">
        <v>44</v>
      </c>
      <c r="H68" s="7">
        <v>19</v>
      </c>
      <c r="I68" s="9">
        <v>29</v>
      </c>
      <c r="J68" s="7">
        <v>9</v>
      </c>
      <c r="K68" s="9">
        <v>35</v>
      </c>
      <c r="L68" s="9">
        <v>32</v>
      </c>
      <c r="N68" s="7">
        <v>13</v>
      </c>
      <c r="O68" s="8">
        <f t="shared" si="10"/>
        <v>150</v>
      </c>
      <c r="P68" s="1">
        <f t="shared" si="11"/>
        <v>960</v>
      </c>
      <c r="Q68" s="1">
        <f t="shared" si="12"/>
        <v>769</v>
      </c>
      <c r="R68" s="2">
        <f t="shared" si="13"/>
        <v>466</v>
      </c>
      <c r="S68" s="1">
        <f t="shared" si="14"/>
        <v>403.26</v>
      </c>
      <c r="T68" s="1">
        <f t="shared" si="15"/>
        <v>393.90000000000003</v>
      </c>
      <c r="U68" s="22">
        <f t="shared" si="16"/>
        <v>0.60598179453836154</v>
      </c>
      <c r="V68" s="22">
        <f t="shared" si="17"/>
        <v>0.97678916827853002</v>
      </c>
      <c r="W68" s="22">
        <f t="shared" si="18"/>
        <v>0.86536480686695272</v>
      </c>
      <c r="X68" s="1">
        <f t="shared" si="19"/>
        <v>0.51222366710013012</v>
      </c>
      <c r="Z68" s="5"/>
      <c r="AA68" s="5"/>
      <c r="AB68" s="5"/>
      <c r="AC68" s="5"/>
    </row>
    <row r="69" spans="1:29" x14ac:dyDescent="0.3">
      <c r="A69" s="2">
        <v>68</v>
      </c>
      <c r="B69" s="2" t="s">
        <v>5</v>
      </c>
      <c r="C69" s="2">
        <v>1505</v>
      </c>
      <c r="D69" s="10">
        <v>23</v>
      </c>
      <c r="E69" s="10">
        <v>41</v>
      </c>
      <c r="F69" s="9">
        <v>151</v>
      </c>
      <c r="G69" s="9">
        <v>40</v>
      </c>
      <c r="H69" s="7">
        <v>17</v>
      </c>
      <c r="I69" s="9">
        <v>34</v>
      </c>
      <c r="J69" s="7">
        <v>12</v>
      </c>
      <c r="K69" s="9">
        <v>29</v>
      </c>
      <c r="L69" s="9">
        <v>27</v>
      </c>
      <c r="N69" s="7">
        <v>13</v>
      </c>
      <c r="O69" s="8">
        <f t="shared" si="10"/>
        <v>150</v>
      </c>
      <c r="P69" s="1">
        <f t="shared" si="11"/>
        <v>960</v>
      </c>
      <c r="Q69" s="1">
        <f t="shared" si="12"/>
        <v>768</v>
      </c>
      <c r="R69" s="2">
        <f t="shared" si="13"/>
        <v>487</v>
      </c>
      <c r="S69" s="1">
        <f t="shared" si="14"/>
        <v>391.3</v>
      </c>
      <c r="T69" s="1">
        <f t="shared" si="15"/>
        <v>374.66</v>
      </c>
      <c r="U69" s="22">
        <f t="shared" si="16"/>
        <v>0.63411458333333337</v>
      </c>
      <c r="V69" s="22">
        <f t="shared" si="17"/>
        <v>0.95747508305647844</v>
      </c>
      <c r="W69" s="22">
        <f t="shared" si="18"/>
        <v>0.80349075975359341</v>
      </c>
      <c r="X69" s="1">
        <f t="shared" si="19"/>
        <v>0.48783854166666668</v>
      </c>
      <c r="Z69" s="5"/>
      <c r="AA69" s="5"/>
      <c r="AB69" s="5"/>
      <c r="AC69" s="5"/>
    </row>
    <row r="70" spans="1:29" x14ac:dyDescent="0.3">
      <c r="A70" s="2">
        <v>69</v>
      </c>
      <c r="B70" s="2" t="s">
        <v>5</v>
      </c>
      <c r="C70" s="2">
        <v>1713</v>
      </c>
      <c r="D70" s="10">
        <v>12</v>
      </c>
      <c r="E70" s="10">
        <v>17</v>
      </c>
      <c r="F70" s="9">
        <v>139</v>
      </c>
      <c r="G70" s="9">
        <v>37</v>
      </c>
      <c r="H70" s="7">
        <v>18</v>
      </c>
      <c r="I70" s="9">
        <v>51</v>
      </c>
      <c r="J70" s="7">
        <v>7</v>
      </c>
      <c r="L70" s="9">
        <v>34</v>
      </c>
      <c r="N70" s="7">
        <v>14</v>
      </c>
      <c r="O70" s="8">
        <f t="shared" si="10"/>
        <v>150</v>
      </c>
      <c r="P70" s="1">
        <f t="shared" si="11"/>
        <v>960</v>
      </c>
      <c r="Q70" s="1">
        <f t="shared" si="12"/>
        <v>771</v>
      </c>
      <c r="R70" s="2">
        <f t="shared" si="13"/>
        <v>510</v>
      </c>
      <c r="S70" s="1">
        <f t="shared" si="14"/>
        <v>445.38</v>
      </c>
      <c r="T70" s="1">
        <f t="shared" si="15"/>
        <v>437.84000000000003</v>
      </c>
      <c r="U70" s="22">
        <f t="shared" si="16"/>
        <v>0.66147859922178986</v>
      </c>
      <c r="V70" s="22">
        <f t="shared" si="17"/>
        <v>0.98307063631056624</v>
      </c>
      <c r="W70" s="22">
        <f t="shared" si="18"/>
        <v>0.87329411764705878</v>
      </c>
      <c r="X70" s="1">
        <f t="shared" si="19"/>
        <v>0.56788586251621265</v>
      </c>
      <c r="Z70" s="5"/>
      <c r="AA70" s="5"/>
      <c r="AB70" s="5"/>
      <c r="AC70" s="5"/>
    </row>
    <row r="71" spans="1:29" x14ac:dyDescent="0.3">
      <c r="A71" s="2">
        <v>70</v>
      </c>
      <c r="B71" s="2" t="s">
        <v>3</v>
      </c>
      <c r="C71" s="2">
        <v>1732</v>
      </c>
      <c r="D71" s="10">
        <v>29</v>
      </c>
      <c r="E71" s="10">
        <v>31</v>
      </c>
      <c r="F71" s="9">
        <v>126</v>
      </c>
      <c r="G71" s="9">
        <v>48</v>
      </c>
      <c r="H71" s="7">
        <v>19</v>
      </c>
      <c r="I71" s="9">
        <v>37</v>
      </c>
      <c r="J71" s="7">
        <v>10</v>
      </c>
      <c r="K71" s="9">
        <v>17</v>
      </c>
      <c r="L71" s="9">
        <v>32</v>
      </c>
      <c r="M71" s="7">
        <v>50</v>
      </c>
      <c r="N71" s="7">
        <v>19</v>
      </c>
      <c r="O71" s="8">
        <f t="shared" si="10"/>
        <v>150</v>
      </c>
      <c r="P71" s="1">
        <f t="shared" si="11"/>
        <v>960</v>
      </c>
      <c r="Q71" s="1">
        <f t="shared" si="12"/>
        <v>712</v>
      </c>
      <c r="R71" s="2">
        <f t="shared" si="13"/>
        <v>452</v>
      </c>
      <c r="S71" s="1">
        <f t="shared" si="14"/>
        <v>450.32</v>
      </c>
      <c r="T71" s="1">
        <f t="shared" si="15"/>
        <v>434.72</v>
      </c>
      <c r="U71" s="22">
        <f t="shared" si="16"/>
        <v>0.6348314606741573</v>
      </c>
      <c r="V71" s="22">
        <f t="shared" si="17"/>
        <v>0.96535796766743653</v>
      </c>
      <c r="W71" s="22">
        <f t="shared" si="18"/>
        <v>0.99628318584070796</v>
      </c>
      <c r="X71" s="1">
        <f t="shared" si="19"/>
        <v>0.61056179775280905</v>
      </c>
      <c r="Z71" s="5"/>
      <c r="AA71" s="5"/>
      <c r="AB71" s="5"/>
      <c r="AC71" s="5"/>
    </row>
    <row r="72" spans="1:29" x14ac:dyDescent="0.3">
      <c r="A72" s="2">
        <v>71</v>
      </c>
      <c r="B72" s="2" t="s">
        <v>3</v>
      </c>
      <c r="C72" s="2">
        <v>1631</v>
      </c>
      <c r="D72" s="10">
        <v>17</v>
      </c>
      <c r="E72" s="10">
        <v>34</v>
      </c>
      <c r="F72" s="9">
        <v>162</v>
      </c>
      <c r="G72" s="9">
        <v>36</v>
      </c>
      <c r="H72" s="7">
        <v>17</v>
      </c>
      <c r="I72" s="9">
        <v>33</v>
      </c>
      <c r="J72" s="7">
        <v>7</v>
      </c>
      <c r="L72" s="9">
        <v>32</v>
      </c>
      <c r="N72" s="7">
        <v>15</v>
      </c>
      <c r="O72" s="8">
        <f t="shared" si="10"/>
        <v>150</v>
      </c>
      <c r="P72" s="1">
        <f t="shared" si="11"/>
        <v>960</v>
      </c>
      <c r="Q72" s="1">
        <f t="shared" si="12"/>
        <v>771</v>
      </c>
      <c r="R72" s="2">
        <f t="shared" si="13"/>
        <v>508</v>
      </c>
      <c r="S72" s="1">
        <f t="shared" si="14"/>
        <v>424.06</v>
      </c>
      <c r="T72" s="1">
        <f t="shared" si="15"/>
        <v>410.8</v>
      </c>
      <c r="U72" s="22">
        <f t="shared" si="16"/>
        <v>0.65888456549935148</v>
      </c>
      <c r="V72" s="22">
        <f t="shared" si="17"/>
        <v>0.96873083997547516</v>
      </c>
      <c r="W72" s="22">
        <f t="shared" si="18"/>
        <v>0.83476377952755909</v>
      </c>
      <c r="X72" s="1">
        <f t="shared" si="19"/>
        <v>0.53281452658884565</v>
      </c>
      <c r="Z72" s="5"/>
      <c r="AA72" s="5"/>
      <c r="AB72" s="5"/>
      <c r="AC72" s="5"/>
    </row>
    <row r="73" spans="1:29" x14ac:dyDescent="0.3">
      <c r="A73" s="2">
        <v>72</v>
      </c>
      <c r="B73" s="2" t="s">
        <v>5</v>
      </c>
      <c r="C73" s="2">
        <v>1635</v>
      </c>
      <c r="D73" s="10">
        <v>21</v>
      </c>
      <c r="E73" s="10">
        <v>7</v>
      </c>
      <c r="F73" s="9">
        <v>165</v>
      </c>
      <c r="G73" s="9">
        <v>27</v>
      </c>
      <c r="H73" s="7">
        <v>16</v>
      </c>
      <c r="I73" s="9">
        <v>33</v>
      </c>
      <c r="J73" s="7">
        <v>10</v>
      </c>
      <c r="K73" s="9">
        <v>40</v>
      </c>
      <c r="L73" s="9">
        <v>27</v>
      </c>
      <c r="N73" s="7">
        <v>15</v>
      </c>
      <c r="O73" s="8">
        <f t="shared" si="10"/>
        <v>150</v>
      </c>
      <c r="P73" s="1">
        <f t="shared" si="11"/>
        <v>960</v>
      </c>
      <c r="Q73" s="1">
        <f t="shared" si="12"/>
        <v>769</v>
      </c>
      <c r="R73" s="2">
        <f t="shared" si="13"/>
        <v>477</v>
      </c>
      <c r="S73" s="1">
        <f t="shared" si="14"/>
        <v>425.1</v>
      </c>
      <c r="T73" s="1">
        <f t="shared" si="15"/>
        <v>417.82</v>
      </c>
      <c r="U73" s="22">
        <f t="shared" si="16"/>
        <v>0.62028608582574774</v>
      </c>
      <c r="V73" s="22">
        <f t="shared" si="17"/>
        <v>0.98287461773700302</v>
      </c>
      <c r="W73" s="22">
        <f t="shared" si="18"/>
        <v>0.89119496855345914</v>
      </c>
      <c r="X73" s="1">
        <f t="shared" si="19"/>
        <v>0.54332899869960993</v>
      </c>
      <c r="Z73" s="5"/>
      <c r="AA73" s="5"/>
      <c r="AB73" s="5"/>
      <c r="AC73" s="5"/>
    </row>
    <row r="74" spans="1:29" x14ac:dyDescent="0.3">
      <c r="A74" s="2">
        <v>73</v>
      </c>
      <c r="B74" s="2" t="s">
        <v>2</v>
      </c>
      <c r="C74" s="2">
        <v>1599</v>
      </c>
      <c r="D74" s="10">
        <v>17</v>
      </c>
      <c r="E74" s="10">
        <v>23</v>
      </c>
      <c r="F74" s="9">
        <v>133</v>
      </c>
      <c r="G74" s="9">
        <v>44</v>
      </c>
      <c r="H74" s="7">
        <v>17</v>
      </c>
      <c r="I74" s="9">
        <v>40</v>
      </c>
      <c r="J74" s="7">
        <v>9</v>
      </c>
      <c r="K74" s="9">
        <v>18</v>
      </c>
      <c r="L74" s="9">
        <v>33</v>
      </c>
      <c r="N74" s="7">
        <v>16</v>
      </c>
      <c r="O74" s="8">
        <f t="shared" si="10"/>
        <v>150</v>
      </c>
      <c r="P74" s="1">
        <f t="shared" si="11"/>
        <v>960</v>
      </c>
      <c r="Q74" s="1">
        <f t="shared" si="12"/>
        <v>768</v>
      </c>
      <c r="R74" s="2">
        <f t="shared" si="13"/>
        <v>500</v>
      </c>
      <c r="S74" s="1">
        <f t="shared" si="14"/>
        <v>415.74</v>
      </c>
      <c r="T74" s="1">
        <f t="shared" si="15"/>
        <v>405.34000000000003</v>
      </c>
      <c r="U74" s="22">
        <f t="shared" si="16"/>
        <v>0.65104166666666663</v>
      </c>
      <c r="V74" s="22">
        <f t="shared" si="17"/>
        <v>0.9749843652282677</v>
      </c>
      <c r="W74" s="22">
        <f t="shared" si="18"/>
        <v>0.83148</v>
      </c>
      <c r="X74" s="1">
        <f t="shared" si="19"/>
        <v>0.52778645833333326</v>
      </c>
      <c r="Z74" s="5"/>
      <c r="AA74" s="5"/>
      <c r="AB74" s="5"/>
      <c r="AC74" s="5"/>
    </row>
    <row r="75" spans="1:29" x14ac:dyDescent="0.3">
      <c r="A75" s="2">
        <v>74</v>
      </c>
      <c r="B75" s="2" t="s">
        <v>3</v>
      </c>
      <c r="C75" s="2">
        <v>1635</v>
      </c>
      <c r="D75" s="10">
        <v>23</v>
      </c>
      <c r="E75" s="10">
        <v>10</v>
      </c>
      <c r="F75" s="9">
        <v>148</v>
      </c>
      <c r="G75" s="9">
        <v>26</v>
      </c>
      <c r="H75" s="7">
        <v>15</v>
      </c>
      <c r="I75" s="9">
        <v>33</v>
      </c>
      <c r="J75" s="7">
        <v>11</v>
      </c>
      <c r="K75" s="9">
        <v>16</v>
      </c>
      <c r="L75" s="9">
        <v>26</v>
      </c>
      <c r="N75" s="7">
        <v>15</v>
      </c>
      <c r="O75" s="8">
        <f t="shared" si="10"/>
        <v>150</v>
      </c>
      <c r="P75" s="1">
        <f t="shared" si="11"/>
        <v>960</v>
      </c>
      <c r="Q75" s="1">
        <f t="shared" si="12"/>
        <v>769</v>
      </c>
      <c r="R75" s="2">
        <f t="shared" si="13"/>
        <v>520</v>
      </c>
      <c r="S75" s="1">
        <f t="shared" si="14"/>
        <v>425.1</v>
      </c>
      <c r="T75" s="1">
        <f t="shared" si="15"/>
        <v>416.52000000000004</v>
      </c>
      <c r="U75" s="22">
        <f t="shared" si="16"/>
        <v>0.67620286085825743</v>
      </c>
      <c r="V75" s="22">
        <f t="shared" si="17"/>
        <v>0.97981651376146794</v>
      </c>
      <c r="W75" s="22">
        <f t="shared" si="18"/>
        <v>0.8175</v>
      </c>
      <c r="X75" s="1">
        <f t="shared" si="19"/>
        <v>0.54163849154746424</v>
      </c>
      <c r="Z75" s="5"/>
      <c r="AA75" s="5"/>
      <c r="AB75" s="5"/>
      <c r="AC75" s="5"/>
    </row>
    <row r="76" spans="1:29" x14ac:dyDescent="0.3">
      <c r="A76" s="2">
        <v>75</v>
      </c>
      <c r="B76" s="2" t="s">
        <v>3</v>
      </c>
      <c r="C76" s="2">
        <v>1528</v>
      </c>
      <c r="D76" s="10">
        <v>29</v>
      </c>
      <c r="E76" s="10">
        <v>28</v>
      </c>
      <c r="F76" s="9">
        <v>162</v>
      </c>
      <c r="G76" s="9">
        <v>32</v>
      </c>
      <c r="H76" s="7">
        <v>19</v>
      </c>
      <c r="I76" s="9">
        <v>25</v>
      </c>
      <c r="J76" s="7">
        <v>12</v>
      </c>
      <c r="L76" s="9">
        <v>35</v>
      </c>
      <c r="N76" s="7">
        <v>13</v>
      </c>
      <c r="O76" s="8">
        <f t="shared" si="10"/>
        <v>150</v>
      </c>
      <c r="P76" s="1">
        <f t="shared" si="11"/>
        <v>960</v>
      </c>
      <c r="Q76" s="1">
        <f t="shared" si="12"/>
        <v>766</v>
      </c>
      <c r="R76" s="2">
        <f t="shared" si="13"/>
        <v>512</v>
      </c>
      <c r="S76" s="1">
        <f t="shared" si="14"/>
        <v>397.28000000000003</v>
      </c>
      <c r="T76" s="1">
        <f t="shared" si="15"/>
        <v>382.46000000000004</v>
      </c>
      <c r="U76" s="22">
        <f t="shared" si="16"/>
        <v>0.66840731070496084</v>
      </c>
      <c r="V76" s="22">
        <f t="shared" si="17"/>
        <v>0.96269633507853403</v>
      </c>
      <c r="W76" s="22">
        <f t="shared" si="18"/>
        <v>0.77593750000000006</v>
      </c>
      <c r="X76" s="1">
        <f t="shared" si="19"/>
        <v>0.49929503916449092</v>
      </c>
      <c r="Z76" s="5"/>
      <c r="AA76" s="5"/>
      <c r="AB76" s="5"/>
      <c r="AC76" s="5"/>
    </row>
    <row r="77" spans="1:29" x14ac:dyDescent="0.3">
      <c r="A77" s="2">
        <v>76</v>
      </c>
      <c r="B77" s="2" t="s">
        <v>5</v>
      </c>
      <c r="C77" s="2">
        <v>1564</v>
      </c>
      <c r="D77" s="10">
        <v>11</v>
      </c>
      <c r="E77" s="10">
        <v>17</v>
      </c>
      <c r="F77" s="9">
        <v>132</v>
      </c>
      <c r="G77" s="9">
        <v>30</v>
      </c>
      <c r="H77" s="7">
        <v>19</v>
      </c>
      <c r="I77" s="9">
        <v>56</v>
      </c>
      <c r="J77" s="7">
        <v>10</v>
      </c>
      <c r="K77" s="9">
        <v>18</v>
      </c>
      <c r="L77" s="9">
        <v>30</v>
      </c>
      <c r="N77" s="7">
        <v>15</v>
      </c>
      <c r="O77" s="8">
        <f t="shared" si="10"/>
        <v>150</v>
      </c>
      <c r="P77" s="1">
        <f t="shared" si="11"/>
        <v>960</v>
      </c>
      <c r="Q77" s="1">
        <f t="shared" si="12"/>
        <v>766</v>
      </c>
      <c r="R77" s="2">
        <f t="shared" si="13"/>
        <v>500</v>
      </c>
      <c r="S77" s="1">
        <f t="shared" si="14"/>
        <v>406.64</v>
      </c>
      <c r="T77" s="1">
        <f t="shared" si="15"/>
        <v>399.36</v>
      </c>
      <c r="U77" s="22">
        <f t="shared" si="16"/>
        <v>0.65274151436031336</v>
      </c>
      <c r="V77" s="22">
        <f t="shared" si="17"/>
        <v>0.98209718670076729</v>
      </c>
      <c r="W77" s="22">
        <f t="shared" si="18"/>
        <v>0.81328</v>
      </c>
      <c r="X77" s="1">
        <f t="shared" si="19"/>
        <v>0.52135770234986956</v>
      </c>
      <c r="Z77" s="5"/>
      <c r="AA77" s="5"/>
      <c r="AB77" s="5"/>
      <c r="AC77" s="5"/>
    </row>
    <row r="78" spans="1:29" x14ac:dyDescent="0.3">
      <c r="A78" s="2">
        <v>77</v>
      </c>
      <c r="B78" s="2" t="s">
        <v>2</v>
      </c>
      <c r="C78" s="2">
        <v>1552</v>
      </c>
      <c r="D78" s="10">
        <v>23</v>
      </c>
      <c r="E78" s="10">
        <v>15</v>
      </c>
      <c r="F78" s="9">
        <v>151</v>
      </c>
      <c r="G78" s="9">
        <v>32</v>
      </c>
      <c r="H78" s="7">
        <v>16</v>
      </c>
      <c r="I78" s="9">
        <v>55</v>
      </c>
      <c r="J78" s="7">
        <v>9</v>
      </c>
      <c r="K78" s="9">
        <v>25</v>
      </c>
      <c r="L78" s="9">
        <v>25</v>
      </c>
      <c r="N78" s="7">
        <v>17</v>
      </c>
      <c r="O78" s="8">
        <f t="shared" si="10"/>
        <v>150</v>
      </c>
      <c r="P78" s="1">
        <f t="shared" si="11"/>
        <v>960</v>
      </c>
      <c r="Q78" s="1">
        <f t="shared" si="12"/>
        <v>768</v>
      </c>
      <c r="R78" s="2">
        <f t="shared" si="13"/>
        <v>480</v>
      </c>
      <c r="S78" s="1">
        <f t="shared" si="14"/>
        <v>403.52000000000004</v>
      </c>
      <c r="T78" s="1">
        <f t="shared" si="15"/>
        <v>393.64</v>
      </c>
      <c r="U78" s="22">
        <f t="shared" si="16"/>
        <v>0.625</v>
      </c>
      <c r="V78" s="22">
        <f t="shared" si="17"/>
        <v>0.97551546391752575</v>
      </c>
      <c r="W78" s="22">
        <f t="shared" si="18"/>
        <v>0.84066666666666678</v>
      </c>
      <c r="X78" s="1">
        <f t="shared" si="19"/>
        <v>0.51255208333333335</v>
      </c>
      <c r="Z78" s="5"/>
      <c r="AA78" s="5"/>
      <c r="AB78" s="5"/>
      <c r="AC78" s="5"/>
    </row>
    <row r="79" spans="1:29" x14ac:dyDescent="0.3">
      <c r="A79" s="2">
        <v>78</v>
      </c>
      <c r="B79" s="2" t="s">
        <v>4</v>
      </c>
      <c r="C79" s="2">
        <v>1446</v>
      </c>
      <c r="D79" s="10">
        <v>15</v>
      </c>
      <c r="E79" s="10">
        <v>11</v>
      </c>
      <c r="F79" s="9">
        <v>193</v>
      </c>
      <c r="G79" s="9">
        <v>28</v>
      </c>
      <c r="H79" s="7">
        <v>19</v>
      </c>
      <c r="I79" s="9">
        <v>59</v>
      </c>
      <c r="J79" s="7">
        <v>11</v>
      </c>
      <c r="K79" s="9">
        <v>22</v>
      </c>
      <c r="L79" s="9">
        <v>29</v>
      </c>
      <c r="N79" s="7">
        <v>14</v>
      </c>
      <c r="O79" s="8">
        <f t="shared" si="10"/>
        <v>150</v>
      </c>
      <c r="P79" s="1">
        <f t="shared" si="11"/>
        <v>960</v>
      </c>
      <c r="Q79" s="1">
        <f t="shared" si="12"/>
        <v>766</v>
      </c>
      <c r="R79" s="2">
        <f t="shared" si="13"/>
        <v>435</v>
      </c>
      <c r="S79" s="1">
        <f t="shared" si="14"/>
        <v>375.96000000000004</v>
      </c>
      <c r="T79" s="1">
        <f t="shared" si="15"/>
        <v>369.2</v>
      </c>
      <c r="U79" s="22">
        <f t="shared" si="16"/>
        <v>0.56788511749347259</v>
      </c>
      <c r="V79" s="22">
        <f t="shared" si="17"/>
        <v>0.9820193637621023</v>
      </c>
      <c r="W79" s="22">
        <f t="shared" si="18"/>
        <v>0.86427586206896556</v>
      </c>
      <c r="X79" s="1">
        <f t="shared" si="19"/>
        <v>0.48198433420365533</v>
      </c>
      <c r="Z79" s="5"/>
      <c r="AA79" s="5"/>
      <c r="AB79" s="5"/>
      <c r="AC79" s="5"/>
    </row>
    <row r="80" spans="1:29" x14ac:dyDescent="0.3">
      <c r="A80" s="2">
        <v>79</v>
      </c>
      <c r="B80" s="2" t="s">
        <v>3</v>
      </c>
      <c r="C80" s="2">
        <v>1505</v>
      </c>
      <c r="D80" s="10">
        <v>27</v>
      </c>
      <c r="E80" s="10">
        <v>35</v>
      </c>
      <c r="F80" s="9">
        <v>158</v>
      </c>
      <c r="G80" s="9">
        <v>50</v>
      </c>
      <c r="H80" s="7">
        <v>18</v>
      </c>
      <c r="I80" s="9">
        <v>44</v>
      </c>
      <c r="J80" s="7">
        <v>11</v>
      </c>
      <c r="K80" s="9">
        <v>26</v>
      </c>
      <c r="L80" s="9">
        <v>33</v>
      </c>
      <c r="N80" s="7">
        <v>14</v>
      </c>
      <c r="O80" s="8">
        <f t="shared" si="10"/>
        <v>150</v>
      </c>
      <c r="P80" s="1">
        <f t="shared" si="11"/>
        <v>960</v>
      </c>
      <c r="Q80" s="1">
        <f t="shared" si="12"/>
        <v>767</v>
      </c>
      <c r="R80" s="2">
        <f t="shared" si="13"/>
        <v>456</v>
      </c>
      <c r="S80" s="1">
        <f t="shared" si="14"/>
        <v>391.3</v>
      </c>
      <c r="T80" s="1">
        <f t="shared" si="15"/>
        <v>375.18</v>
      </c>
      <c r="U80" s="22">
        <f t="shared" si="16"/>
        <v>0.59452411994784871</v>
      </c>
      <c r="V80" s="22">
        <f t="shared" si="17"/>
        <v>0.95880398671096345</v>
      </c>
      <c r="W80" s="22">
        <f t="shared" si="18"/>
        <v>0.85811403508771933</v>
      </c>
      <c r="X80" s="1">
        <f t="shared" si="19"/>
        <v>0.48915254237288136</v>
      </c>
      <c r="Z80" s="5"/>
      <c r="AA80" s="5"/>
      <c r="AB80" s="5"/>
      <c r="AC80" s="5"/>
    </row>
    <row r="81" spans="1:29" x14ac:dyDescent="0.3">
      <c r="A81" s="2">
        <v>80</v>
      </c>
      <c r="B81" s="2" t="s">
        <v>3</v>
      </c>
      <c r="C81" s="2">
        <v>1534</v>
      </c>
      <c r="D81" s="10">
        <v>24</v>
      </c>
      <c r="E81" s="10">
        <v>11</v>
      </c>
      <c r="F81" s="9">
        <v>148</v>
      </c>
      <c r="G81" s="9">
        <v>43</v>
      </c>
      <c r="H81" s="7">
        <v>18</v>
      </c>
      <c r="I81" s="9">
        <v>31</v>
      </c>
      <c r="J81" s="7">
        <v>9</v>
      </c>
      <c r="L81" s="9">
        <v>33</v>
      </c>
      <c r="M81" s="7">
        <v>50</v>
      </c>
      <c r="N81" s="7">
        <v>18</v>
      </c>
      <c r="O81" s="8">
        <f t="shared" si="10"/>
        <v>150</v>
      </c>
      <c r="P81" s="1">
        <f t="shared" si="11"/>
        <v>960</v>
      </c>
      <c r="Q81" s="1">
        <f t="shared" si="12"/>
        <v>715</v>
      </c>
      <c r="R81" s="2">
        <f t="shared" si="13"/>
        <v>460</v>
      </c>
      <c r="S81" s="1">
        <f t="shared" si="14"/>
        <v>398.84000000000003</v>
      </c>
      <c r="T81" s="1">
        <f t="shared" si="15"/>
        <v>389.74</v>
      </c>
      <c r="U81" s="22">
        <f t="shared" si="16"/>
        <v>0.64335664335664333</v>
      </c>
      <c r="V81" s="22">
        <f t="shared" si="17"/>
        <v>0.97718383311603652</v>
      </c>
      <c r="W81" s="22">
        <f t="shared" si="18"/>
        <v>0.86704347826086958</v>
      </c>
      <c r="X81" s="1">
        <f t="shared" si="19"/>
        <v>0.54509090909090907</v>
      </c>
      <c r="Z81" s="5"/>
      <c r="AA81" s="5"/>
      <c r="AB81" s="5"/>
      <c r="AC81" s="5"/>
    </row>
    <row r="82" spans="1:29" x14ac:dyDescent="0.3">
      <c r="A82" s="2">
        <v>81</v>
      </c>
      <c r="B82" s="2" t="s">
        <v>3</v>
      </c>
      <c r="C82" s="2">
        <v>1655</v>
      </c>
      <c r="D82" s="10">
        <v>26</v>
      </c>
      <c r="E82" s="10">
        <v>43</v>
      </c>
      <c r="F82" s="9">
        <v>186</v>
      </c>
      <c r="G82" s="9">
        <v>42</v>
      </c>
      <c r="H82" s="7">
        <v>19</v>
      </c>
      <c r="I82" s="9">
        <v>26</v>
      </c>
      <c r="J82" s="7">
        <v>5</v>
      </c>
      <c r="L82" s="9">
        <v>32</v>
      </c>
      <c r="N82" s="7">
        <v>17</v>
      </c>
      <c r="O82" s="8">
        <f t="shared" si="10"/>
        <v>150</v>
      </c>
      <c r="P82" s="1">
        <f t="shared" si="11"/>
        <v>960</v>
      </c>
      <c r="Q82" s="1">
        <f t="shared" si="12"/>
        <v>769</v>
      </c>
      <c r="R82" s="2">
        <f t="shared" si="13"/>
        <v>483</v>
      </c>
      <c r="S82" s="1">
        <f t="shared" si="14"/>
        <v>430.3</v>
      </c>
      <c r="T82" s="1">
        <f t="shared" si="15"/>
        <v>412.36</v>
      </c>
      <c r="U82" s="22">
        <f t="shared" si="16"/>
        <v>0.62808842652795838</v>
      </c>
      <c r="V82" s="22">
        <f t="shared" si="17"/>
        <v>0.95830815709969785</v>
      </c>
      <c r="W82" s="22">
        <f t="shared" si="18"/>
        <v>0.89089026915113878</v>
      </c>
      <c r="X82" s="1">
        <f t="shared" si="19"/>
        <v>0.53622886866059827</v>
      </c>
      <c r="Z82" s="5"/>
      <c r="AA82" s="5"/>
      <c r="AB82" s="5"/>
      <c r="AC82" s="5"/>
    </row>
    <row r="83" spans="1:29" x14ac:dyDescent="0.3">
      <c r="A83" s="2">
        <v>82</v>
      </c>
      <c r="B83" s="2" t="s">
        <v>5</v>
      </c>
      <c r="C83" s="2">
        <v>1573</v>
      </c>
      <c r="D83" s="10">
        <v>30</v>
      </c>
      <c r="E83" s="10">
        <v>31</v>
      </c>
      <c r="F83" s="9">
        <v>152</v>
      </c>
      <c r="G83" s="9">
        <v>39</v>
      </c>
      <c r="H83" s="7">
        <v>20</v>
      </c>
      <c r="I83" s="9">
        <v>51</v>
      </c>
      <c r="J83" s="7">
        <v>6</v>
      </c>
      <c r="K83" s="9">
        <v>39</v>
      </c>
      <c r="L83" s="9">
        <v>35</v>
      </c>
      <c r="N83" s="7">
        <v>15</v>
      </c>
      <c r="O83" s="8">
        <f t="shared" si="10"/>
        <v>150</v>
      </c>
      <c r="P83" s="1">
        <f t="shared" si="11"/>
        <v>960</v>
      </c>
      <c r="Q83" s="1">
        <f t="shared" si="12"/>
        <v>769</v>
      </c>
      <c r="R83" s="2">
        <f t="shared" si="13"/>
        <v>453</v>
      </c>
      <c r="S83" s="1">
        <f t="shared" si="14"/>
        <v>408.98</v>
      </c>
      <c r="T83" s="1">
        <f t="shared" si="15"/>
        <v>393.12</v>
      </c>
      <c r="U83" s="22">
        <f t="shared" si="16"/>
        <v>0.58907672301690506</v>
      </c>
      <c r="V83" s="22">
        <f t="shared" si="17"/>
        <v>0.96122059758423395</v>
      </c>
      <c r="W83" s="22">
        <f t="shared" si="18"/>
        <v>0.90282560706401771</v>
      </c>
      <c r="X83" s="1">
        <f t="shared" si="19"/>
        <v>0.51120936280884266</v>
      </c>
      <c r="Z83" s="5"/>
      <c r="AA83" s="5"/>
      <c r="AB83" s="5"/>
      <c r="AC83" s="5"/>
    </row>
    <row r="84" spans="1:29" x14ac:dyDescent="0.3">
      <c r="A84" s="2">
        <v>83</v>
      </c>
      <c r="B84" s="2" t="s">
        <v>4</v>
      </c>
      <c r="C84" s="2">
        <v>1619</v>
      </c>
      <c r="D84" s="10">
        <v>12</v>
      </c>
      <c r="E84" s="10">
        <v>42</v>
      </c>
      <c r="F84" s="9">
        <v>160</v>
      </c>
      <c r="G84" s="9">
        <v>43</v>
      </c>
      <c r="H84" s="7">
        <v>17</v>
      </c>
      <c r="I84" s="9">
        <v>31</v>
      </c>
      <c r="J84" s="7">
        <v>7</v>
      </c>
      <c r="K84" s="9">
        <v>17</v>
      </c>
      <c r="L84" s="9">
        <v>35</v>
      </c>
      <c r="N84" s="7">
        <v>15</v>
      </c>
      <c r="O84" s="8">
        <f t="shared" si="10"/>
        <v>150</v>
      </c>
      <c r="P84" s="1">
        <f t="shared" si="11"/>
        <v>960</v>
      </c>
      <c r="Q84" s="1">
        <f t="shared" si="12"/>
        <v>771</v>
      </c>
      <c r="R84" s="2">
        <f t="shared" si="13"/>
        <v>485</v>
      </c>
      <c r="S84" s="1">
        <f t="shared" si="14"/>
        <v>420.94</v>
      </c>
      <c r="T84" s="1">
        <f t="shared" si="15"/>
        <v>406.90000000000003</v>
      </c>
      <c r="U84" s="22">
        <f t="shared" si="16"/>
        <v>0.62905317769130997</v>
      </c>
      <c r="V84" s="22">
        <f t="shared" si="17"/>
        <v>0.96664607782581846</v>
      </c>
      <c r="W84" s="22">
        <f t="shared" si="18"/>
        <v>0.86791752577319592</v>
      </c>
      <c r="X84" s="1">
        <f t="shared" si="19"/>
        <v>0.5277561608300908</v>
      </c>
      <c r="Z84" s="5"/>
      <c r="AA84" s="5"/>
      <c r="AB84" s="5"/>
      <c r="AC84" s="5"/>
    </row>
    <row r="85" spans="1:29" x14ac:dyDescent="0.3">
      <c r="A85" s="2">
        <v>84</v>
      </c>
      <c r="B85" s="2" t="s">
        <v>3</v>
      </c>
      <c r="C85" s="2">
        <v>1526</v>
      </c>
      <c r="D85" s="10">
        <v>30</v>
      </c>
      <c r="E85" s="10">
        <v>30</v>
      </c>
      <c r="F85" s="9">
        <v>211</v>
      </c>
      <c r="G85" s="9">
        <v>43</v>
      </c>
      <c r="H85" s="7">
        <v>17</v>
      </c>
      <c r="I85" s="9">
        <v>42</v>
      </c>
      <c r="J85" s="7">
        <v>12</v>
      </c>
      <c r="K85" s="9">
        <v>32</v>
      </c>
      <c r="L85" s="9">
        <v>36</v>
      </c>
      <c r="N85" s="7">
        <v>19</v>
      </c>
      <c r="O85" s="8">
        <f t="shared" si="10"/>
        <v>150</v>
      </c>
      <c r="P85" s="1">
        <f t="shared" si="11"/>
        <v>960</v>
      </c>
      <c r="Q85" s="1">
        <f t="shared" si="12"/>
        <v>762</v>
      </c>
      <c r="R85" s="2">
        <f t="shared" si="13"/>
        <v>398</v>
      </c>
      <c r="S85" s="1">
        <f t="shared" si="14"/>
        <v>396.76</v>
      </c>
      <c r="T85" s="1">
        <f t="shared" si="15"/>
        <v>381.16</v>
      </c>
      <c r="U85" s="22">
        <f t="shared" si="16"/>
        <v>0.52230971128608927</v>
      </c>
      <c r="V85" s="22">
        <f t="shared" si="17"/>
        <v>0.96068152031454779</v>
      </c>
      <c r="W85" s="22">
        <f t="shared" si="18"/>
        <v>0.99688442211055273</v>
      </c>
      <c r="X85" s="1">
        <f t="shared" si="19"/>
        <v>0.50020997375328091</v>
      </c>
      <c r="Z85" s="5"/>
      <c r="AA85" s="5"/>
      <c r="AB85" s="5"/>
      <c r="AC85" s="5"/>
    </row>
    <row r="86" spans="1:29" x14ac:dyDescent="0.3">
      <c r="A86" s="2">
        <v>85</v>
      </c>
      <c r="B86" s="2" t="s">
        <v>2</v>
      </c>
      <c r="C86" s="2">
        <v>1506</v>
      </c>
      <c r="D86" s="10">
        <v>14</v>
      </c>
      <c r="E86" s="10">
        <v>9</v>
      </c>
      <c r="F86" s="9">
        <v>180</v>
      </c>
      <c r="G86" s="9">
        <v>36</v>
      </c>
      <c r="H86" s="7">
        <v>18</v>
      </c>
      <c r="I86" s="9">
        <v>32</v>
      </c>
      <c r="J86" s="7">
        <v>6</v>
      </c>
      <c r="K86" s="9">
        <v>28</v>
      </c>
      <c r="L86" s="9">
        <v>30</v>
      </c>
      <c r="N86" s="7">
        <v>14</v>
      </c>
      <c r="O86" s="8">
        <f t="shared" si="10"/>
        <v>150</v>
      </c>
      <c r="P86" s="1">
        <f t="shared" si="11"/>
        <v>960</v>
      </c>
      <c r="Q86" s="1">
        <f t="shared" si="12"/>
        <v>772</v>
      </c>
      <c r="R86" s="2">
        <f t="shared" si="13"/>
        <v>466</v>
      </c>
      <c r="S86" s="1">
        <f t="shared" si="14"/>
        <v>391.56</v>
      </c>
      <c r="T86" s="1">
        <f t="shared" si="15"/>
        <v>385.58000000000004</v>
      </c>
      <c r="U86" s="22">
        <f t="shared" si="16"/>
        <v>0.60362694300518138</v>
      </c>
      <c r="V86" s="22">
        <f t="shared" si="17"/>
        <v>0.98472775564409032</v>
      </c>
      <c r="W86" s="22">
        <f t="shared" si="18"/>
        <v>0.84025751072961374</v>
      </c>
      <c r="X86" s="1">
        <f t="shared" si="19"/>
        <v>0.49945595854922281</v>
      </c>
      <c r="Z86" s="5"/>
      <c r="AA86" s="5"/>
      <c r="AB86" s="5"/>
      <c r="AC86" s="5"/>
    </row>
    <row r="87" spans="1:29" x14ac:dyDescent="0.3">
      <c r="A87" s="2">
        <v>86</v>
      </c>
      <c r="B87" s="2" t="s">
        <v>5</v>
      </c>
      <c r="C87" s="2">
        <v>1564</v>
      </c>
      <c r="D87" s="10">
        <v>16</v>
      </c>
      <c r="E87" s="10">
        <v>33</v>
      </c>
      <c r="F87" s="9">
        <v>173</v>
      </c>
      <c r="G87" s="9">
        <v>48</v>
      </c>
      <c r="H87" s="7">
        <v>19</v>
      </c>
      <c r="I87" s="9">
        <v>27</v>
      </c>
      <c r="J87" s="7">
        <v>9</v>
      </c>
      <c r="K87" s="9">
        <v>29</v>
      </c>
      <c r="L87" s="9">
        <v>31</v>
      </c>
      <c r="N87" s="7">
        <v>16</v>
      </c>
      <c r="O87" s="8">
        <f t="shared" si="10"/>
        <v>150</v>
      </c>
      <c r="P87" s="1">
        <f t="shared" si="11"/>
        <v>960</v>
      </c>
      <c r="Q87" s="1">
        <f t="shared" si="12"/>
        <v>766</v>
      </c>
      <c r="R87" s="2">
        <f t="shared" si="13"/>
        <v>458</v>
      </c>
      <c r="S87" s="1">
        <f t="shared" si="14"/>
        <v>406.64</v>
      </c>
      <c r="T87" s="1">
        <f t="shared" si="15"/>
        <v>393.90000000000003</v>
      </c>
      <c r="U87" s="22">
        <f t="shared" si="16"/>
        <v>0.59791122715404699</v>
      </c>
      <c r="V87" s="22">
        <f t="shared" si="17"/>
        <v>0.96867007672634275</v>
      </c>
      <c r="W87" s="22">
        <f t="shared" si="18"/>
        <v>0.88786026200873358</v>
      </c>
      <c r="X87" s="1">
        <f t="shared" si="19"/>
        <v>0.51422976501305473</v>
      </c>
      <c r="Z87" s="5"/>
      <c r="AA87" s="5"/>
      <c r="AB87" s="5"/>
      <c r="AC87" s="5"/>
    </row>
    <row r="88" spans="1:29" x14ac:dyDescent="0.3">
      <c r="A88" s="2">
        <v>87</v>
      </c>
      <c r="B88" s="2" t="s">
        <v>3</v>
      </c>
      <c r="C88" s="2">
        <v>1586</v>
      </c>
      <c r="D88" s="10">
        <v>20</v>
      </c>
      <c r="E88" s="10">
        <v>45</v>
      </c>
      <c r="F88" s="9">
        <v>148</v>
      </c>
      <c r="G88" s="9">
        <v>45</v>
      </c>
      <c r="H88" s="7">
        <v>16</v>
      </c>
      <c r="I88" s="9">
        <v>62</v>
      </c>
      <c r="J88" s="7">
        <v>8</v>
      </c>
      <c r="K88" s="9">
        <v>15</v>
      </c>
      <c r="L88" s="9">
        <v>33</v>
      </c>
      <c r="N88" s="7">
        <v>14</v>
      </c>
      <c r="O88" s="8">
        <f t="shared" si="10"/>
        <v>150</v>
      </c>
      <c r="P88" s="1">
        <f t="shared" si="11"/>
        <v>960</v>
      </c>
      <c r="Q88" s="1">
        <f t="shared" si="12"/>
        <v>772</v>
      </c>
      <c r="R88" s="2">
        <f t="shared" si="13"/>
        <v>469</v>
      </c>
      <c r="S88" s="1">
        <f t="shared" si="14"/>
        <v>412.36</v>
      </c>
      <c r="T88" s="1">
        <f t="shared" si="15"/>
        <v>395.46000000000004</v>
      </c>
      <c r="U88" s="22">
        <f t="shared" si="16"/>
        <v>0.6075129533678757</v>
      </c>
      <c r="V88" s="22">
        <f t="shared" si="17"/>
        <v>0.95901639344262291</v>
      </c>
      <c r="W88" s="22">
        <f t="shared" si="18"/>
        <v>0.87923240938166314</v>
      </c>
      <c r="X88" s="1">
        <f t="shared" si="19"/>
        <v>0.5122538860103627</v>
      </c>
      <c r="Z88" s="5"/>
      <c r="AA88" s="5"/>
      <c r="AB88" s="5"/>
      <c r="AC88" s="5"/>
    </row>
    <row r="89" spans="1:29" x14ac:dyDescent="0.3">
      <c r="A89" s="2">
        <v>88</v>
      </c>
      <c r="B89" s="2" t="s">
        <v>3</v>
      </c>
      <c r="C89" s="2">
        <v>1620</v>
      </c>
      <c r="D89" s="10">
        <v>25</v>
      </c>
      <c r="E89" s="10">
        <v>44</v>
      </c>
      <c r="F89" s="9">
        <v>165</v>
      </c>
      <c r="G89" s="9">
        <v>36</v>
      </c>
      <c r="H89" s="7">
        <v>15</v>
      </c>
      <c r="I89" s="9">
        <v>38</v>
      </c>
      <c r="J89" s="7">
        <v>7</v>
      </c>
      <c r="L89" s="9">
        <v>36</v>
      </c>
      <c r="N89" s="7">
        <v>13</v>
      </c>
      <c r="O89" s="8">
        <f t="shared" si="10"/>
        <v>150</v>
      </c>
      <c r="P89" s="1">
        <f t="shared" si="11"/>
        <v>960</v>
      </c>
      <c r="Q89" s="1">
        <f t="shared" si="12"/>
        <v>775</v>
      </c>
      <c r="R89" s="2">
        <f t="shared" si="13"/>
        <v>500</v>
      </c>
      <c r="S89" s="1">
        <f t="shared" si="14"/>
        <v>421.2</v>
      </c>
      <c r="T89" s="1">
        <f t="shared" si="15"/>
        <v>403.26</v>
      </c>
      <c r="U89" s="22">
        <f t="shared" si="16"/>
        <v>0.64516129032258063</v>
      </c>
      <c r="V89" s="22">
        <f t="shared" si="17"/>
        <v>0.95740740740740737</v>
      </c>
      <c r="W89" s="22">
        <f t="shared" si="18"/>
        <v>0.84239999999999993</v>
      </c>
      <c r="X89" s="1">
        <f t="shared" si="19"/>
        <v>0.52033548387096773</v>
      </c>
      <c r="Z89" s="5"/>
      <c r="AA89" s="5"/>
      <c r="AB89" s="5"/>
      <c r="AC89" s="5"/>
    </row>
    <row r="90" spans="1:29" x14ac:dyDescent="0.3">
      <c r="A90" s="2">
        <v>89</v>
      </c>
      <c r="B90" s="2" t="s">
        <v>5</v>
      </c>
      <c r="C90" s="2">
        <v>1451</v>
      </c>
      <c r="D90" s="10">
        <v>30</v>
      </c>
      <c r="E90" s="10">
        <v>44</v>
      </c>
      <c r="F90" s="9">
        <v>171</v>
      </c>
      <c r="G90" s="9">
        <v>46</v>
      </c>
      <c r="H90" s="7">
        <v>19</v>
      </c>
      <c r="I90" s="9">
        <v>58</v>
      </c>
      <c r="J90" s="7">
        <v>6</v>
      </c>
      <c r="K90" s="9">
        <v>32</v>
      </c>
      <c r="L90" s="9">
        <v>36</v>
      </c>
      <c r="N90" s="7">
        <v>17</v>
      </c>
      <c r="O90" s="8">
        <f t="shared" si="10"/>
        <v>150</v>
      </c>
      <c r="P90" s="1">
        <f t="shared" si="11"/>
        <v>960</v>
      </c>
      <c r="Q90" s="1">
        <f t="shared" si="12"/>
        <v>768</v>
      </c>
      <c r="R90" s="2">
        <f t="shared" si="13"/>
        <v>425</v>
      </c>
      <c r="S90" s="1">
        <f t="shared" si="14"/>
        <v>377.26</v>
      </c>
      <c r="T90" s="1">
        <f t="shared" si="15"/>
        <v>358.02000000000004</v>
      </c>
      <c r="U90" s="22">
        <f t="shared" si="16"/>
        <v>0.55338541666666663</v>
      </c>
      <c r="V90" s="22">
        <f t="shared" si="17"/>
        <v>0.9490006891798759</v>
      </c>
      <c r="W90" s="22">
        <f t="shared" si="18"/>
        <v>0.8876705882352941</v>
      </c>
      <c r="X90" s="1">
        <f t="shared" si="19"/>
        <v>0.46617187499999996</v>
      </c>
      <c r="Z90" s="5"/>
      <c r="AA90" s="5"/>
      <c r="AB90" s="5"/>
      <c r="AC90" s="5"/>
    </row>
    <row r="91" spans="1:29" x14ac:dyDescent="0.3">
      <c r="A91" s="2">
        <v>90</v>
      </c>
      <c r="B91" s="2" t="s">
        <v>5</v>
      </c>
      <c r="C91" s="2">
        <v>1438</v>
      </c>
      <c r="D91" s="10">
        <v>30</v>
      </c>
      <c r="E91" s="10">
        <v>5</v>
      </c>
      <c r="F91" s="9">
        <v>186</v>
      </c>
      <c r="G91" s="9">
        <v>42</v>
      </c>
      <c r="H91" s="7">
        <v>19</v>
      </c>
      <c r="I91" s="9">
        <v>45</v>
      </c>
      <c r="J91" s="7">
        <v>11</v>
      </c>
      <c r="L91" s="9">
        <v>33</v>
      </c>
      <c r="M91" s="7">
        <v>45</v>
      </c>
      <c r="N91" s="7">
        <v>15</v>
      </c>
      <c r="O91" s="8">
        <f t="shared" si="10"/>
        <v>150</v>
      </c>
      <c r="P91" s="1">
        <f t="shared" si="11"/>
        <v>960</v>
      </c>
      <c r="Q91" s="1">
        <f t="shared" si="12"/>
        <v>720</v>
      </c>
      <c r="R91" s="2">
        <f t="shared" si="13"/>
        <v>414</v>
      </c>
      <c r="S91" s="1">
        <f t="shared" si="14"/>
        <v>373.88</v>
      </c>
      <c r="T91" s="1">
        <f t="shared" si="15"/>
        <v>364.78000000000003</v>
      </c>
      <c r="U91" s="22">
        <f t="shared" si="16"/>
        <v>0.57499999999999996</v>
      </c>
      <c r="V91" s="22">
        <f t="shared" si="17"/>
        <v>0.97566063977746875</v>
      </c>
      <c r="W91" s="22">
        <f t="shared" si="18"/>
        <v>0.90309178743961349</v>
      </c>
      <c r="X91" s="1">
        <f t="shared" si="19"/>
        <v>0.50663888888888886</v>
      </c>
      <c r="Z91" s="5"/>
      <c r="AA91" s="5"/>
      <c r="AB91" s="5"/>
      <c r="AC91" s="5"/>
    </row>
    <row r="92" spans="1:29" x14ac:dyDescent="0.3">
      <c r="A92" s="2">
        <v>91</v>
      </c>
      <c r="B92" s="2" t="s">
        <v>5</v>
      </c>
      <c r="C92" s="2">
        <v>1615</v>
      </c>
      <c r="D92" s="10">
        <v>18</v>
      </c>
      <c r="E92" s="10">
        <v>29</v>
      </c>
      <c r="F92" s="9">
        <v>191</v>
      </c>
      <c r="G92" s="9">
        <v>46</v>
      </c>
      <c r="H92" s="7">
        <v>18</v>
      </c>
      <c r="I92" s="9">
        <v>30</v>
      </c>
      <c r="J92" s="7">
        <v>7</v>
      </c>
      <c r="L92" s="9">
        <v>31</v>
      </c>
      <c r="N92" s="7">
        <v>16</v>
      </c>
      <c r="O92" s="8">
        <f t="shared" si="10"/>
        <v>150</v>
      </c>
      <c r="P92" s="1">
        <f t="shared" si="11"/>
        <v>960</v>
      </c>
      <c r="Q92" s="1">
        <f t="shared" si="12"/>
        <v>769</v>
      </c>
      <c r="R92" s="2">
        <f t="shared" si="13"/>
        <v>471</v>
      </c>
      <c r="S92" s="1">
        <f t="shared" si="14"/>
        <v>419.90000000000003</v>
      </c>
      <c r="T92" s="1">
        <f t="shared" si="15"/>
        <v>407.68</v>
      </c>
      <c r="U92" s="22">
        <f t="shared" si="16"/>
        <v>0.61248374512353709</v>
      </c>
      <c r="V92" s="22">
        <f t="shared" si="17"/>
        <v>0.97089783281733744</v>
      </c>
      <c r="W92" s="22">
        <f t="shared" si="18"/>
        <v>0.89150743099787688</v>
      </c>
      <c r="X92" s="1">
        <f t="shared" si="19"/>
        <v>0.53014304291287395</v>
      </c>
      <c r="Z92" s="5"/>
      <c r="AA92" s="5"/>
      <c r="AB92" s="5"/>
      <c r="AC92" s="5"/>
    </row>
    <row r="93" spans="1:29" x14ac:dyDescent="0.3">
      <c r="A93" s="2">
        <v>92</v>
      </c>
      <c r="B93" s="2" t="s">
        <v>3</v>
      </c>
      <c r="C93" s="2">
        <v>1463</v>
      </c>
      <c r="D93" s="10">
        <v>21</v>
      </c>
      <c r="E93" s="10">
        <v>49</v>
      </c>
      <c r="F93" s="9">
        <v>173</v>
      </c>
      <c r="G93" s="9">
        <v>44</v>
      </c>
      <c r="H93" s="7">
        <v>16</v>
      </c>
      <c r="I93" s="9">
        <v>51</v>
      </c>
      <c r="J93" s="7">
        <v>5</v>
      </c>
      <c r="K93" s="9">
        <v>39</v>
      </c>
      <c r="L93" s="9">
        <v>31</v>
      </c>
      <c r="N93" s="7">
        <v>17</v>
      </c>
      <c r="O93" s="8">
        <f t="shared" si="10"/>
        <v>150</v>
      </c>
      <c r="P93" s="1">
        <f t="shared" si="11"/>
        <v>960</v>
      </c>
      <c r="Q93" s="1">
        <f t="shared" si="12"/>
        <v>772</v>
      </c>
      <c r="R93" s="2">
        <f t="shared" si="13"/>
        <v>434</v>
      </c>
      <c r="S93" s="1">
        <f t="shared" si="14"/>
        <v>380.38</v>
      </c>
      <c r="T93" s="1">
        <f t="shared" si="15"/>
        <v>362.18</v>
      </c>
      <c r="U93" s="22">
        <f t="shared" si="16"/>
        <v>0.56217616580310881</v>
      </c>
      <c r="V93" s="22">
        <f t="shared" si="17"/>
        <v>0.95215311004784686</v>
      </c>
      <c r="W93" s="22">
        <f t="shared" si="18"/>
        <v>0.87645161290322582</v>
      </c>
      <c r="X93" s="1">
        <f t="shared" si="19"/>
        <v>0.46914507772020725</v>
      </c>
      <c r="Z93" s="5"/>
      <c r="AA93" s="5"/>
      <c r="AB93" s="5"/>
      <c r="AC93" s="5"/>
    </row>
    <row r="94" spans="1:29" x14ac:dyDescent="0.3">
      <c r="A94" s="2">
        <v>93</v>
      </c>
      <c r="B94" s="2" t="s">
        <v>3</v>
      </c>
      <c r="C94" s="2">
        <v>1591</v>
      </c>
      <c r="D94" s="10">
        <v>13</v>
      </c>
      <c r="E94" s="10">
        <v>18</v>
      </c>
      <c r="F94" s="9">
        <v>145</v>
      </c>
      <c r="G94" s="9">
        <v>44</v>
      </c>
      <c r="H94" s="7">
        <v>15</v>
      </c>
      <c r="I94" s="9">
        <v>34</v>
      </c>
      <c r="J94" s="7">
        <v>9</v>
      </c>
      <c r="L94" s="9">
        <v>33</v>
      </c>
      <c r="N94" s="7">
        <v>19</v>
      </c>
      <c r="O94" s="8">
        <f t="shared" si="10"/>
        <v>150</v>
      </c>
      <c r="P94" s="1">
        <f t="shared" si="11"/>
        <v>960</v>
      </c>
      <c r="Q94" s="1">
        <f t="shared" si="12"/>
        <v>767</v>
      </c>
      <c r="R94" s="2">
        <f t="shared" si="13"/>
        <v>511</v>
      </c>
      <c r="S94" s="1">
        <f t="shared" si="14"/>
        <v>413.66</v>
      </c>
      <c r="T94" s="1">
        <f t="shared" si="15"/>
        <v>405.6</v>
      </c>
      <c r="U94" s="22">
        <f t="shared" si="16"/>
        <v>0.66623207301173404</v>
      </c>
      <c r="V94" s="22">
        <f t="shared" si="17"/>
        <v>0.98051539912005026</v>
      </c>
      <c r="W94" s="22">
        <f t="shared" si="18"/>
        <v>0.80951076320939341</v>
      </c>
      <c r="X94" s="1">
        <f t="shared" si="19"/>
        <v>0.52881355932203389</v>
      </c>
      <c r="Z94" s="5"/>
      <c r="AA94" s="5"/>
      <c r="AB94" s="5"/>
      <c r="AC94" s="5"/>
    </row>
    <row r="95" spans="1:29" x14ac:dyDescent="0.3">
      <c r="A95" s="2">
        <v>94</v>
      </c>
      <c r="B95" s="2" t="s">
        <v>5</v>
      </c>
      <c r="C95" s="2">
        <v>1584</v>
      </c>
      <c r="D95" s="10">
        <v>18</v>
      </c>
      <c r="E95" s="10">
        <v>22</v>
      </c>
      <c r="F95" s="9">
        <v>195</v>
      </c>
      <c r="G95" s="9">
        <v>44</v>
      </c>
      <c r="H95" s="7">
        <v>18</v>
      </c>
      <c r="I95" s="9">
        <v>50</v>
      </c>
      <c r="J95" s="7">
        <v>11</v>
      </c>
      <c r="K95" s="9">
        <v>36</v>
      </c>
      <c r="L95" s="9">
        <v>28</v>
      </c>
      <c r="N95" s="7">
        <v>18</v>
      </c>
      <c r="O95" s="8">
        <f t="shared" si="10"/>
        <v>150</v>
      </c>
      <c r="P95" s="1">
        <f t="shared" si="11"/>
        <v>960</v>
      </c>
      <c r="Q95" s="1">
        <f t="shared" si="12"/>
        <v>763</v>
      </c>
      <c r="R95" s="2">
        <f t="shared" si="13"/>
        <v>410</v>
      </c>
      <c r="S95" s="1">
        <f t="shared" si="14"/>
        <v>411.84000000000003</v>
      </c>
      <c r="T95" s="1">
        <f t="shared" si="15"/>
        <v>401.44</v>
      </c>
      <c r="U95" s="22">
        <f t="shared" si="16"/>
        <v>0.53735255570117957</v>
      </c>
      <c r="V95" s="22">
        <f t="shared" si="17"/>
        <v>0.9747474747474747</v>
      </c>
      <c r="W95" s="22">
        <f t="shared" si="18"/>
        <v>1.0044878048780488</v>
      </c>
      <c r="X95" s="1">
        <f t="shared" si="19"/>
        <v>0.52613368283093043</v>
      </c>
      <c r="Z95" s="5"/>
      <c r="AA95" s="5"/>
      <c r="AB95" s="5"/>
      <c r="AC95" s="5"/>
    </row>
    <row r="96" spans="1:29" x14ac:dyDescent="0.3">
      <c r="A96" s="2">
        <v>95</v>
      </c>
      <c r="B96" s="2" t="s">
        <v>5</v>
      </c>
      <c r="C96" s="2">
        <v>1477</v>
      </c>
      <c r="D96" s="10">
        <v>30</v>
      </c>
      <c r="E96" s="10">
        <v>30</v>
      </c>
      <c r="F96" s="9">
        <v>199</v>
      </c>
      <c r="G96" s="9">
        <v>36</v>
      </c>
      <c r="H96" s="7">
        <v>19</v>
      </c>
      <c r="I96" s="9">
        <v>56</v>
      </c>
      <c r="J96" s="7">
        <v>11</v>
      </c>
      <c r="L96" s="9">
        <v>30</v>
      </c>
      <c r="N96" s="7">
        <v>16</v>
      </c>
      <c r="O96" s="8">
        <f t="shared" si="10"/>
        <v>150</v>
      </c>
      <c r="P96" s="1">
        <f t="shared" si="11"/>
        <v>960</v>
      </c>
      <c r="Q96" s="1">
        <f t="shared" si="12"/>
        <v>764</v>
      </c>
      <c r="R96" s="2">
        <f t="shared" si="13"/>
        <v>443</v>
      </c>
      <c r="S96" s="1">
        <f t="shared" si="14"/>
        <v>384.02000000000004</v>
      </c>
      <c r="T96" s="1">
        <f t="shared" si="15"/>
        <v>368.42</v>
      </c>
      <c r="U96" s="22">
        <f t="shared" si="16"/>
        <v>0.57984293193717273</v>
      </c>
      <c r="V96" s="22">
        <f t="shared" si="17"/>
        <v>0.95937711577522</v>
      </c>
      <c r="W96" s="22">
        <f t="shared" si="18"/>
        <v>0.86686230248307006</v>
      </c>
      <c r="X96" s="1">
        <f t="shared" si="19"/>
        <v>0.48222513089005237</v>
      </c>
      <c r="Z96" s="5"/>
      <c r="AA96" s="5"/>
      <c r="AB96" s="5"/>
      <c r="AC96" s="5"/>
    </row>
    <row r="97" spans="1:29" x14ac:dyDescent="0.3">
      <c r="A97" s="2">
        <v>96</v>
      </c>
      <c r="B97" s="2" t="s">
        <v>2</v>
      </c>
      <c r="C97" s="2">
        <v>1498</v>
      </c>
      <c r="D97" s="10">
        <v>28</v>
      </c>
      <c r="E97" s="10">
        <v>41</v>
      </c>
      <c r="F97" s="9">
        <v>182</v>
      </c>
      <c r="G97" s="9">
        <v>37</v>
      </c>
      <c r="H97" s="7">
        <v>20</v>
      </c>
      <c r="I97" s="9">
        <v>35</v>
      </c>
      <c r="J97" s="7">
        <v>6</v>
      </c>
      <c r="K97" s="9">
        <v>17</v>
      </c>
      <c r="L97" s="9">
        <v>32</v>
      </c>
      <c r="N97" s="7">
        <v>16</v>
      </c>
      <c r="O97" s="8">
        <f t="shared" si="10"/>
        <v>150</v>
      </c>
      <c r="P97" s="1">
        <f t="shared" si="11"/>
        <v>960</v>
      </c>
      <c r="Q97" s="1">
        <f t="shared" si="12"/>
        <v>768</v>
      </c>
      <c r="R97" s="2">
        <f t="shared" si="13"/>
        <v>465</v>
      </c>
      <c r="S97" s="1">
        <f t="shared" si="14"/>
        <v>389.48</v>
      </c>
      <c r="T97" s="1">
        <f t="shared" si="15"/>
        <v>371.54</v>
      </c>
      <c r="U97" s="22">
        <f t="shared" si="16"/>
        <v>0.60546875</v>
      </c>
      <c r="V97" s="22">
        <f t="shared" si="17"/>
        <v>0.95393858477970628</v>
      </c>
      <c r="W97" s="22">
        <f t="shared" si="18"/>
        <v>0.83759139784946246</v>
      </c>
      <c r="X97" s="1">
        <f t="shared" si="19"/>
        <v>0.48377604166666671</v>
      </c>
      <c r="Z97" s="5"/>
      <c r="AA97" s="5"/>
      <c r="AB97" s="5"/>
      <c r="AC97" s="5"/>
    </row>
    <row r="98" spans="1:29" x14ac:dyDescent="0.3">
      <c r="A98" s="2">
        <v>97</v>
      </c>
      <c r="B98" s="2" t="s">
        <v>3</v>
      </c>
      <c r="C98" s="2">
        <v>1432</v>
      </c>
      <c r="D98" s="10">
        <v>18</v>
      </c>
      <c r="E98" s="10">
        <v>13</v>
      </c>
      <c r="F98" s="9">
        <v>203</v>
      </c>
      <c r="G98" s="9">
        <v>40</v>
      </c>
      <c r="H98" s="7">
        <v>18</v>
      </c>
      <c r="I98" s="9">
        <v>57</v>
      </c>
      <c r="J98" s="7">
        <v>9</v>
      </c>
      <c r="K98" s="9">
        <v>19</v>
      </c>
      <c r="L98" s="9">
        <v>37</v>
      </c>
      <c r="N98" s="7">
        <v>18</v>
      </c>
      <c r="O98" s="8">
        <f t="shared" si="10"/>
        <v>150</v>
      </c>
      <c r="P98" s="1">
        <f t="shared" si="11"/>
        <v>960</v>
      </c>
      <c r="Q98" s="1">
        <f t="shared" si="12"/>
        <v>765</v>
      </c>
      <c r="R98" s="2">
        <f t="shared" si="13"/>
        <v>409</v>
      </c>
      <c r="S98" s="1">
        <f t="shared" si="14"/>
        <v>372.32</v>
      </c>
      <c r="T98" s="1">
        <f t="shared" si="15"/>
        <v>364.26</v>
      </c>
      <c r="U98" s="22">
        <f t="shared" si="16"/>
        <v>0.53464052287581698</v>
      </c>
      <c r="V98" s="22">
        <f t="shared" si="17"/>
        <v>0.9783519553072626</v>
      </c>
      <c r="W98" s="22">
        <f t="shared" si="18"/>
        <v>0.91031784841075791</v>
      </c>
      <c r="X98" s="1">
        <f t="shared" si="19"/>
        <v>0.47615686274509805</v>
      </c>
      <c r="Z98" s="5"/>
      <c r="AA98" s="5"/>
      <c r="AB98" s="5"/>
      <c r="AC98" s="5"/>
    </row>
    <row r="99" spans="1:29" x14ac:dyDescent="0.3">
      <c r="A99" s="2">
        <v>98</v>
      </c>
      <c r="B99" s="2" t="s">
        <v>3</v>
      </c>
      <c r="C99" s="2">
        <v>1530</v>
      </c>
      <c r="D99" s="10">
        <v>22</v>
      </c>
      <c r="E99" s="10">
        <v>41</v>
      </c>
      <c r="F99" s="9">
        <v>215</v>
      </c>
      <c r="G99" s="9">
        <v>33</v>
      </c>
      <c r="H99" s="7">
        <v>15</v>
      </c>
      <c r="I99" s="9">
        <v>40</v>
      </c>
      <c r="J99" s="7">
        <v>12</v>
      </c>
      <c r="L99" s="9">
        <v>33</v>
      </c>
      <c r="N99" s="7">
        <v>15</v>
      </c>
      <c r="O99" s="8">
        <f t="shared" si="10"/>
        <v>150</v>
      </c>
      <c r="P99" s="1">
        <f t="shared" si="11"/>
        <v>960</v>
      </c>
      <c r="Q99" s="1">
        <f t="shared" si="12"/>
        <v>768</v>
      </c>
      <c r="R99" s="2">
        <f t="shared" si="13"/>
        <v>447</v>
      </c>
      <c r="S99" s="1">
        <f t="shared" si="14"/>
        <v>397.8</v>
      </c>
      <c r="T99" s="1">
        <f t="shared" si="15"/>
        <v>381.42</v>
      </c>
      <c r="U99" s="22">
        <f t="shared" si="16"/>
        <v>0.58203125</v>
      </c>
      <c r="V99" s="22">
        <f t="shared" si="17"/>
        <v>0.95882352941176474</v>
      </c>
      <c r="W99" s="22">
        <f t="shared" si="18"/>
        <v>0.88993288590604025</v>
      </c>
      <c r="X99" s="1">
        <f t="shared" si="19"/>
        <v>0.496640625</v>
      </c>
      <c r="Z99" s="5"/>
      <c r="AA99" s="5"/>
      <c r="AB99" s="5"/>
      <c r="AC99" s="5"/>
    </row>
    <row r="100" spans="1:29" x14ac:dyDescent="0.3">
      <c r="A100" s="2">
        <v>99</v>
      </c>
      <c r="B100" s="2" t="s">
        <v>5</v>
      </c>
      <c r="C100" s="2">
        <v>1437</v>
      </c>
      <c r="D100" s="10">
        <v>16</v>
      </c>
      <c r="E100" s="10">
        <v>23</v>
      </c>
      <c r="F100" s="9">
        <v>205</v>
      </c>
      <c r="G100" s="9">
        <v>34</v>
      </c>
      <c r="H100" s="7">
        <v>18</v>
      </c>
      <c r="I100" s="9">
        <v>64</v>
      </c>
      <c r="J100" s="7">
        <v>6</v>
      </c>
      <c r="K100" s="9">
        <v>28</v>
      </c>
      <c r="L100" s="9">
        <v>30</v>
      </c>
      <c r="N100" s="7">
        <v>18</v>
      </c>
      <c r="O100" s="8">
        <f t="shared" si="10"/>
        <v>150</v>
      </c>
      <c r="P100" s="1">
        <f t="shared" si="11"/>
        <v>960</v>
      </c>
      <c r="Q100" s="1">
        <f t="shared" si="12"/>
        <v>768</v>
      </c>
      <c r="R100" s="2">
        <f t="shared" si="13"/>
        <v>407</v>
      </c>
      <c r="S100" s="1">
        <f t="shared" si="14"/>
        <v>373.62</v>
      </c>
      <c r="T100" s="1">
        <f t="shared" si="15"/>
        <v>363.48</v>
      </c>
      <c r="U100" s="22">
        <f t="shared" si="16"/>
        <v>0.52994791666666663</v>
      </c>
      <c r="V100" s="22">
        <f t="shared" si="17"/>
        <v>0.97286012526096033</v>
      </c>
      <c r="W100" s="22">
        <f t="shared" si="18"/>
        <v>0.91798525798525799</v>
      </c>
      <c r="X100" s="1">
        <f t="shared" si="19"/>
        <v>0.47328124999999993</v>
      </c>
      <c r="Z100" s="5"/>
      <c r="AA100" s="5"/>
      <c r="AB100" s="5"/>
      <c r="AC100" s="5"/>
    </row>
    <row r="101" spans="1:29" x14ac:dyDescent="0.3">
      <c r="A101" s="2">
        <v>100</v>
      </c>
      <c r="B101" s="2" t="s">
        <v>2</v>
      </c>
      <c r="C101" s="2">
        <v>1426</v>
      </c>
      <c r="D101" s="10">
        <v>10</v>
      </c>
      <c r="E101" s="10">
        <v>45</v>
      </c>
      <c r="F101" s="9">
        <v>176</v>
      </c>
      <c r="G101" s="9">
        <v>37</v>
      </c>
      <c r="H101" s="7">
        <v>16</v>
      </c>
      <c r="I101" s="9">
        <v>33</v>
      </c>
      <c r="J101" s="7">
        <v>11</v>
      </c>
      <c r="K101" s="9">
        <v>40</v>
      </c>
      <c r="L101" s="9">
        <v>29</v>
      </c>
      <c r="M101" s="7">
        <v>300</v>
      </c>
      <c r="N101" s="7">
        <v>13</v>
      </c>
      <c r="O101" s="8">
        <f t="shared" si="10"/>
        <v>150</v>
      </c>
      <c r="P101" s="1">
        <f t="shared" si="11"/>
        <v>960</v>
      </c>
      <c r="Q101" s="1">
        <f t="shared" si="12"/>
        <v>470</v>
      </c>
      <c r="R101" s="2">
        <f t="shared" si="13"/>
        <v>155</v>
      </c>
      <c r="S101" s="1">
        <f t="shared" si="14"/>
        <v>370.76</v>
      </c>
      <c r="T101" s="1">
        <f t="shared" si="15"/>
        <v>356.46000000000004</v>
      </c>
      <c r="U101" s="22">
        <f t="shared" si="16"/>
        <v>0.32978723404255317</v>
      </c>
      <c r="V101" s="22">
        <f t="shared" si="17"/>
        <v>0.96143057503506313</v>
      </c>
      <c r="W101" s="22">
        <f t="shared" si="18"/>
        <v>2.3919999999999999</v>
      </c>
      <c r="X101" s="1">
        <f t="shared" si="19"/>
        <v>0.75842553191489359</v>
      </c>
      <c r="Z101" s="5"/>
      <c r="AA101" s="5"/>
      <c r="AB101" s="5"/>
      <c r="AC101" s="5"/>
    </row>
    <row r="102" spans="1:29" x14ac:dyDescent="0.3">
      <c r="A102" s="2">
        <v>101</v>
      </c>
      <c r="B102" s="2" t="s">
        <v>4</v>
      </c>
      <c r="C102" s="2">
        <v>1474</v>
      </c>
      <c r="D102" s="10">
        <v>23</v>
      </c>
      <c r="E102" s="10">
        <v>17</v>
      </c>
      <c r="F102" s="9">
        <v>178</v>
      </c>
      <c r="G102" s="9">
        <v>53</v>
      </c>
      <c r="H102" s="7">
        <v>20</v>
      </c>
      <c r="I102" s="9">
        <v>20</v>
      </c>
      <c r="J102" s="7">
        <v>11</v>
      </c>
      <c r="K102" s="9">
        <v>32</v>
      </c>
      <c r="L102" s="9">
        <v>36</v>
      </c>
      <c r="N102" s="7">
        <v>20</v>
      </c>
      <c r="O102" s="8">
        <f t="shared" si="10"/>
        <v>150</v>
      </c>
      <c r="P102" s="1">
        <f t="shared" si="11"/>
        <v>960</v>
      </c>
      <c r="Q102" s="1">
        <f t="shared" si="12"/>
        <v>759</v>
      </c>
      <c r="R102" s="2">
        <f t="shared" si="13"/>
        <v>440</v>
      </c>
      <c r="S102" s="1">
        <f t="shared" si="14"/>
        <v>383.24</v>
      </c>
      <c r="T102" s="1">
        <f t="shared" si="15"/>
        <v>372.84000000000003</v>
      </c>
      <c r="U102" s="22">
        <f t="shared" si="16"/>
        <v>0.57971014492753625</v>
      </c>
      <c r="V102" s="22">
        <f t="shared" si="17"/>
        <v>0.97286295793758482</v>
      </c>
      <c r="W102" s="22">
        <f t="shared" si="18"/>
        <v>0.871</v>
      </c>
      <c r="X102" s="1">
        <f t="shared" si="19"/>
        <v>0.49122529644268781</v>
      </c>
      <c r="Z102" s="5"/>
      <c r="AA102" s="5"/>
      <c r="AB102" s="5"/>
      <c r="AC102" s="5"/>
    </row>
    <row r="103" spans="1:29" x14ac:dyDescent="0.3">
      <c r="A103" s="2">
        <v>102</v>
      </c>
      <c r="B103" s="2" t="s">
        <v>3</v>
      </c>
      <c r="C103" s="2">
        <v>1584</v>
      </c>
      <c r="D103" s="10">
        <v>14</v>
      </c>
      <c r="E103" s="10">
        <v>23</v>
      </c>
      <c r="F103" s="9">
        <v>202</v>
      </c>
      <c r="G103" s="9">
        <v>34</v>
      </c>
      <c r="H103" s="7">
        <v>18</v>
      </c>
      <c r="I103" s="9">
        <v>14</v>
      </c>
      <c r="J103" s="7">
        <v>10</v>
      </c>
      <c r="K103" s="9">
        <v>22</v>
      </c>
      <c r="L103" s="9">
        <v>34</v>
      </c>
      <c r="N103" s="7">
        <v>16</v>
      </c>
      <c r="O103" s="8">
        <f t="shared" si="10"/>
        <v>150</v>
      </c>
      <c r="P103" s="1">
        <f t="shared" si="11"/>
        <v>960</v>
      </c>
      <c r="Q103" s="1">
        <f t="shared" si="12"/>
        <v>766</v>
      </c>
      <c r="R103" s="2">
        <f t="shared" si="13"/>
        <v>460</v>
      </c>
      <c r="S103" s="1">
        <f t="shared" si="14"/>
        <v>411.84000000000003</v>
      </c>
      <c r="T103" s="1">
        <f t="shared" si="15"/>
        <v>402.22</v>
      </c>
      <c r="U103" s="22">
        <f t="shared" si="16"/>
        <v>0.60052219321148825</v>
      </c>
      <c r="V103" s="22">
        <f t="shared" si="17"/>
        <v>0.97664141414141414</v>
      </c>
      <c r="W103" s="22">
        <f t="shared" si="18"/>
        <v>0.89530434782608703</v>
      </c>
      <c r="X103" s="1">
        <f t="shared" si="19"/>
        <v>0.52509138381201048</v>
      </c>
      <c r="Z103" s="5"/>
      <c r="AA103" s="5"/>
      <c r="AB103" s="5"/>
      <c r="AC103" s="5"/>
    </row>
    <row r="104" spans="1:29" x14ac:dyDescent="0.3">
      <c r="A104" s="2">
        <v>103</v>
      </c>
      <c r="B104" s="2" t="s">
        <v>3</v>
      </c>
      <c r="C104" s="2">
        <v>1390</v>
      </c>
      <c r="D104" s="10">
        <v>30</v>
      </c>
      <c r="E104" s="10">
        <v>7</v>
      </c>
      <c r="F104" s="9">
        <v>153</v>
      </c>
      <c r="G104" s="9">
        <v>27</v>
      </c>
      <c r="H104" s="7">
        <v>15</v>
      </c>
      <c r="I104" s="9">
        <v>18</v>
      </c>
      <c r="J104" s="7">
        <v>12</v>
      </c>
      <c r="L104" s="9">
        <v>29</v>
      </c>
      <c r="N104" s="7">
        <v>15</v>
      </c>
      <c r="O104" s="8">
        <f t="shared" si="10"/>
        <v>150</v>
      </c>
      <c r="P104" s="1">
        <f t="shared" si="11"/>
        <v>960</v>
      </c>
      <c r="Q104" s="1">
        <f t="shared" si="12"/>
        <v>768</v>
      </c>
      <c r="R104" s="2">
        <f t="shared" si="13"/>
        <v>541</v>
      </c>
      <c r="S104" s="1">
        <f t="shared" si="14"/>
        <v>361.40000000000003</v>
      </c>
      <c r="T104" s="1">
        <f t="shared" si="15"/>
        <v>351.78000000000003</v>
      </c>
      <c r="U104" s="22">
        <f t="shared" si="16"/>
        <v>0.70442708333333337</v>
      </c>
      <c r="V104" s="22">
        <f t="shared" si="17"/>
        <v>0.97338129496402881</v>
      </c>
      <c r="W104" s="22">
        <f t="shared" si="18"/>
        <v>0.66802218114602596</v>
      </c>
      <c r="X104" s="1">
        <f t="shared" si="19"/>
        <v>0.45804687500000013</v>
      </c>
      <c r="Z104" s="5"/>
      <c r="AA104" s="5"/>
      <c r="AB104" s="5"/>
      <c r="AC104" s="5"/>
    </row>
    <row r="105" spans="1:29" x14ac:dyDescent="0.3">
      <c r="A105" s="2">
        <v>104</v>
      </c>
      <c r="B105" s="2" t="s">
        <v>3</v>
      </c>
      <c r="C105" s="2">
        <v>1569</v>
      </c>
      <c r="D105" s="10">
        <v>11</v>
      </c>
      <c r="E105" s="10">
        <v>26</v>
      </c>
      <c r="F105" s="9">
        <v>179</v>
      </c>
      <c r="G105" s="9">
        <v>46</v>
      </c>
      <c r="H105" s="7">
        <v>20</v>
      </c>
      <c r="I105" s="9">
        <v>16</v>
      </c>
      <c r="J105" s="7">
        <v>8</v>
      </c>
      <c r="L105" s="9">
        <v>31</v>
      </c>
      <c r="N105" s="7">
        <v>13</v>
      </c>
      <c r="O105" s="8">
        <f t="shared" si="10"/>
        <v>150</v>
      </c>
      <c r="P105" s="1">
        <f t="shared" si="11"/>
        <v>960</v>
      </c>
      <c r="Q105" s="1">
        <f t="shared" si="12"/>
        <v>769</v>
      </c>
      <c r="R105" s="2">
        <f t="shared" si="13"/>
        <v>497</v>
      </c>
      <c r="S105" s="1">
        <f t="shared" si="14"/>
        <v>407.94</v>
      </c>
      <c r="T105" s="1">
        <f t="shared" si="15"/>
        <v>398.32</v>
      </c>
      <c r="U105" s="22">
        <f t="shared" si="16"/>
        <v>0.64629388816644995</v>
      </c>
      <c r="V105" s="22">
        <f t="shared" si="17"/>
        <v>0.97641810070108348</v>
      </c>
      <c r="W105" s="22">
        <f t="shared" si="18"/>
        <v>0.8208048289738431</v>
      </c>
      <c r="X105" s="1">
        <f t="shared" si="19"/>
        <v>0.51797139141742521</v>
      </c>
      <c r="Z105" s="5"/>
      <c r="AA105" s="5"/>
      <c r="AB105" s="5"/>
      <c r="AC105" s="5"/>
    </row>
    <row r="106" spans="1:29" x14ac:dyDescent="0.3">
      <c r="A106" s="2">
        <v>105</v>
      </c>
      <c r="B106" s="2" t="s">
        <v>5</v>
      </c>
      <c r="C106" s="2">
        <v>1556</v>
      </c>
      <c r="D106" s="10">
        <v>26</v>
      </c>
      <c r="E106" s="10">
        <v>42</v>
      </c>
      <c r="F106" s="9">
        <v>190</v>
      </c>
      <c r="G106" s="9">
        <v>40</v>
      </c>
      <c r="H106" s="7">
        <v>16</v>
      </c>
      <c r="I106" s="9">
        <v>21</v>
      </c>
      <c r="J106" s="7">
        <v>10</v>
      </c>
      <c r="K106" s="9">
        <v>30</v>
      </c>
      <c r="L106" s="9">
        <v>28</v>
      </c>
      <c r="N106" s="7">
        <v>13</v>
      </c>
      <c r="O106" s="8">
        <f t="shared" si="10"/>
        <v>150</v>
      </c>
      <c r="P106" s="1">
        <f t="shared" si="11"/>
        <v>960</v>
      </c>
      <c r="Q106" s="1">
        <f t="shared" si="12"/>
        <v>771</v>
      </c>
      <c r="R106" s="2">
        <f t="shared" si="13"/>
        <v>462</v>
      </c>
      <c r="S106" s="1">
        <f t="shared" si="14"/>
        <v>404.56</v>
      </c>
      <c r="T106" s="1">
        <f t="shared" si="15"/>
        <v>386.88</v>
      </c>
      <c r="U106" s="22">
        <f t="shared" si="16"/>
        <v>0.59922178988326846</v>
      </c>
      <c r="V106" s="22">
        <f t="shared" si="17"/>
        <v>0.95629820051413883</v>
      </c>
      <c r="W106" s="22">
        <f t="shared" si="18"/>
        <v>0.87567099567099571</v>
      </c>
      <c r="X106" s="1">
        <f t="shared" si="19"/>
        <v>0.50178988326848251</v>
      </c>
      <c r="Z106" s="5"/>
      <c r="AA106" s="5"/>
      <c r="AB106" s="5"/>
      <c r="AC106" s="5"/>
    </row>
    <row r="107" spans="1:29" x14ac:dyDescent="0.3">
      <c r="A107" s="2">
        <v>106</v>
      </c>
      <c r="B107" s="2" t="s">
        <v>4</v>
      </c>
      <c r="C107" s="2">
        <v>1598</v>
      </c>
      <c r="D107" s="10">
        <v>20</v>
      </c>
      <c r="E107" s="10">
        <v>39</v>
      </c>
      <c r="F107" s="9">
        <v>198</v>
      </c>
      <c r="G107" s="9">
        <v>44</v>
      </c>
      <c r="H107" s="7">
        <v>20</v>
      </c>
      <c r="I107" s="9">
        <v>17</v>
      </c>
      <c r="J107" s="7">
        <v>12</v>
      </c>
      <c r="K107" s="9">
        <v>40</v>
      </c>
      <c r="L107" s="9">
        <v>29</v>
      </c>
      <c r="N107" s="7">
        <v>12</v>
      </c>
      <c r="O107" s="8">
        <f t="shared" si="10"/>
        <v>150</v>
      </c>
      <c r="P107" s="1">
        <f t="shared" si="11"/>
        <v>960</v>
      </c>
      <c r="Q107" s="1">
        <f t="shared" si="12"/>
        <v>766</v>
      </c>
      <c r="R107" s="2">
        <f t="shared" si="13"/>
        <v>438</v>
      </c>
      <c r="S107" s="1">
        <f t="shared" si="14"/>
        <v>415.48</v>
      </c>
      <c r="T107" s="1">
        <f t="shared" si="15"/>
        <v>400.14</v>
      </c>
      <c r="U107" s="22">
        <f t="shared" si="16"/>
        <v>0.57180156657963443</v>
      </c>
      <c r="V107" s="22">
        <f t="shared" si="17"/>
        <v>0.96307884856070092</v>
      </c>
      <c r="W107" s="22">
        <f t="shared" si="18"/>
        <v>0.94858447488584474</v>
      </c>
      <c r="X107" s="1">
        <f t="shared" si="19"/>
        <v>0.52237597911227152</v>
      </c>
      <c r="Z107" s="5"/>
      <c r="AA107" s="5"/>
      <c r="AB107" s="5"/>
      <c r="AC107" s="5"/>
    </row>
    <row r="108" spans="1:29" x14ac:dyDescent="0.3">
      <c r="A108" s="2">
        <v>107</v>
      </c>
      <c r="B108" s="2" t="s">
        <v>3</v>
      </c>
      <c r="C108" s="2">
        <v>1468</v>
      </c>
      <c r="D108" s="10">
        <v>25</v>
      </c>
      <c r="E108" s="10">
        <v>21</v>
      </c>
      <c r="F108" s="9">
        <v>215</v>
      </c>
      <c r="G108" s="9">
        <v>35</v>
      </c>
      <c r="H108" s="7">
        <v>17</v>
      </c>
      <c r="I108" s="9">
        <v>13</v>
      </c>
      <c r="J108" s="7">
        <v>7</v>
      </c>
      <c r="K108" s="9">
        <v>22</v>
      </c>
      <c r="L108" s="9">
        <v>27</v>
      </c>
      <c r="N108" s="7">
        <v>17</v>
      </c>
      <c r="O108" s="8">
        <f t="shared" si="10"/>
        <v>150</v>
      </c>
      <c r="P108" s="1">
        <f t="shared" si="11"/>
        <v>960</v>
      </c>
      <c r="Q108" s="1">
        <f t="shared" si="12"/>
        <v>769</v>
      </c>
      <c r="R108" s="2">
        <f t="shared" si="13"/>
        <v>457</v>
      </c>
      <c r="S108" s="1">
        <f t="shared" si="14"/>
        <v>381.68</v>
      </c>
      <c r="T108" s="1">
        <f t="shared" si="15"/>
        <v>369.72</v>
      </c>
      <c r="U108" s="22">
        <f t="shared" si="16"/>
        <v>0.59427828348504552</v>
      </c>
      <c r="V108" s="22">
        <f t="shared" si="17"/>
        <v>0.96866485013623982</v>
      </c>
      <c r="W108" s="22">
        <f t="shared" si="18"/>
        <v>0.83518599562363238</v>
      </c>
      <c r="X108" s="1">
        <f t="shared" si="19"/>
        <v>0.48078023407022114</v>
      </c>
      <c r="Z108" s="5"/>
      <c r="AA108" s="5"/>
      <c r="AB108" s="5"/>
      <c r="AC108" s="5"/>
    </row>
    <row r="109" spans="1:29" x14ac:dyDescent="0.3">
      <c r="A109" s="2">
        <v>108</v>
      </c>
      <c r="B109" s="2" t="s">
        <v>2</v>
      </c>
      <c r="C109" s="2">
        <v>1414</v>
      </c>
      <c r="D109" s="10">
        <v>14</v>
      </c>
      <c r="E109" s="10">
        <v>13</v>
      </c>
      <c r="F109" s="9">
        <v>178</v>
      </c>
      <c r="G109" s="9">
        <v>38</v>
      </c>
      <c r="H109" s="7">
        <v>16</v>
      </c>
      <c r="I109" s="9">
        <v>18</v>
      </c>
      <c r="J109" s="7">
        <v>9</v>
      </c>
      <c r="K109" s="9">
        <v>39</v>
      </c>
      <c r="L109" s="9">
        <v>26</v>
      </c>
      <c r="N109" s="7">
        <v>15</v>
      </c>
      <c r="O109" s="8">
        <f t="shared" si="10"/>
        <v>150</v>
      </c>
      <c r="P109" s="1">
        <f t="shared" si="11"/>
        <v>960</v>
      </c>
      <c r="Q109" s="1">
        <f t="shared" si="12"/>
        <v>770</v>
      </c>
      <c r="R109" s="2">
        <f t="shared" si="13"/>
        <v>471</v>
      </c>
      <c r="S109" s="1">
        <f t="shared" si="14"/>
        <v>367.64</v>
      </c>
      <c r="T109" s="1">
        <f t="shared" si="15"/>
        <v>360.62</v>
      </c>
      <c r="U109" s="22">
        <f t="shared" si="16"/>
        <v>0.61168831168831173</v>
      </c>
      <c r="V109" s="22">
        <f t="shared" si="17"/>
        <v>0.98090523338048086</v>
      </c>
      <c r="W109" s="22">
        <f t="shared" si="18"/>
        <v>0.78055201698513799</v>
      </c>
      <c r="X109" s="1">
        <f t="shared" si="19"/>
        <v>0.46833766233766233</v>
      </c>
      <c r="Z109" s="5"/>
      <c r="AA109" s="5"/>
      <c r="AB109" s="5"/>
      <c r="AC109" s="5"/>
    </row>
    <row r="110" spans="1:29" x14ac:dyDescent="0.3">
      <c r="A110" s="2">
        <v>109</v>
      </c>
      <c r="B110" s="2" t="s">
        <v>5</v>
      </c>
      <c r="C110" s="2">
        <v>1579</v>
      </c>
      <c r="D110" s="10">
        <v>30</v>
      </c>
      <c r="E110" s="10">
        <v>11</v>
      </c>
      <c r="F110" s="9">
        <v>172</v>
      </c>
      <c r="G110" s="9">
        <v>42</v>
      </c>
      <c r="H110" s="7">
        <v>17</v>
      </c>
      <c r="I110" s="9">
        <v>15</v>
      </c>
      <c r="J110" s="7">
        <v>8</v>
      </c>
      <c r="K110" s="9">
        <v>22</v>
      </c>
      <c r="L110" s="9">
        <v>32</v>
      </c>
      <c r="N110" s="7">
        <v>16</v>
      </c>
      <c r="O110" s="8">
        <f t="shared" si="10"/>
        <v>150</v>
      </c>
      <c r="P110" s="1">
        <f t="shared" si="11"/>
        <v>960</v>
      </c>
      <c r="Q110" s="1">
        <f t="shared" si="12"/>
        <v>769</v>
      </c>
      <c r="R110" s="2">
        <f t="shared" si="13"/>
        <v>486</v>
      </c>
      <c r="S110" s="1">
        <f t="shared" si="14"/>
        <v>410.54</v>
      </c>
      <c r="T110" s="1">
        <f t="shared" si="15"/>
        <v>399.88</v>
      </c>
      <c r="U110" s="22">
        <f t="shared" si="16"/>
        <v>0.63198959687906375</v>
      </c>
      <c r="V110" s="22">
        <f t="shared" si="17"/>
        <v>0.97403419886003795</v>
      </c>
      <c r="W110" s="22">
        <f t="shared" si="18"/>
        <v>0.84473251028806584</v>
      </c>
      <c r="X110" s="1">
        <f t="shared" si="19"/>
        <v>0.52</v>
      </c>
      <c r="Z110" s="5"/>
      <c r="AA110" s="5"/>
      <c r="AB110" s="5"/>
      <c r="AC110" s="5"/>
    </row>
    <row r="111" spans="1:29" x14ac:dyDescent="0.3">
      <c r="A111" s="2">
        <v>110</v>
      </c>
      <c r="B111" s="2" t="s">
        <v>5</v>
      </c>
      <c r="C111" s="2">
        <v>1422</v>
      </c>
      <c r="D111" s="10">
        <v>28</v>
      </c>
      <c r="E111" s="10">
        <v>35</v>
      </c>
      <c r="F111" s="9">
        <v>191</v>
      </c>
      <c r="G111" s="9">
        <v>33</v>
      </c>
      <c r="H111" s="7">
        <v>18</v>
      </c>
      <c r="I111" s="9">
        <v>15</v>
      </c>
      <c r="J111" s="7">
        <v>9</v>
      </c>
      <c r="L111" s="9">
        <v>33</v>
      </c>
      <c r="M111" s="7">
        <v>40</v>
      </c>
      <c r="N111" s="7">
        <v>13</v>
      </c>
      <c r="O111" s="8">
        <f t="shared" si="10"/>
        <v>150</v>
      </c>
      <c r="P111" s="1">
        <f t="shared" si="11"/>
        <v>960</v>
      </c>
      <c r="Q111" s="1">
        <f t="shared" si="12"/>
        <v>730</v>
      </c>
      <c r="R111" s="2">
        <f t="shared" si="13"/>
        <v>458</v>
      </c>
      <c r="S111" s="1">
        <f t="shared" si="14"/>
        <v>369.72</v>
      </c>
      <c r="T111" s="1">
        <f t="shared" si="15"/>
        <v>353.34000000000003</v>
      </c>
      <c r="U111" s="22">
        <f t="shared" si="16"/>
        <v>0.62739726027397258</v>
      </c>
      <c r="V111" s="22">
        <f t="shared" si="17"/>
        <v>0.95569620253164556</v>
      </c>
      <c r="W111" s="22">
        <f t="shared" si="18"/>
        <v>0.80724890829694329</v>
      </c>
      <c r="X111" s="1">
        <f t="shared" si="19"/>
        <v>0.48402739726027399</v>
      </c>
      <c r="Z111" s="5"/>
      <c r="AA111" s="5"/>
      <c r="AB111" s="5"/>
      <c r="AC111" s="5"/>
    </row>
    <row r="112" spans="1:29" x14ac:dyDescent="0.3">
      <c r="A112" s="2">
        <v>111</v>
      </c>
      <c r="B112" s="2" t="s">
        <v>3</v>
      </c>
      <c r="C112" s="2">
        <v>1536</v>
      </c>
      <c r="D112" s="10">
        <v>27</v>
      </c>
      <c r="E112" s="10">
        <v>23</v>
      </c>
      <c r="F112" s="9">
        <v>188</v>
      </c>
      <c r="G112" s="9">
        <v>44</v>
      </c>
      <c r="H112" s="7">
        <v>15</v>
      </c>
      <c r="I112" s="9">
        <v>16</v>
      </c>
      <c r="J112" s="7">
        <v>8</v>
      </c>
      <c r="K112" s="9">
        <v>29</v>
      </c>
      <c r="L112" s="9">
        <v>29</v>
      </c>
      <c r="N112" s="7">
        <v>12</v>
      </c>
      <c r="O112" s="8">
        <f t="shared" si="10"/>
        <v>150</v>
      </c>
      <c r="P112" s="1">
        <f t="shared" si="11"/>
        <v>960</v>
      </c>
      <c r="Q112" s="1">
        <f t="shared" si="12"/>
        <v>775</v>
      </c>
      <c r="R112" s="2">
        <f t="shared" si="13"/>
        <v>469</v>
      </c>
      <c r="S112" s="1">
        <f t="shared" si="14"/>
        <v>399.36</v>
      </c>
      <c r="T112" s="1">
        <f t="shared" si="15"/>
        <v>386.36</v>
      </c>
      <c r="U112" s="22">
        <f t="shared" si="16"/>
        <v>0.60516129032258059</v>
      </c>
      <c r="V112" s="22">
        <f t="shared" si="17"/>
        <v>0.96744791666666663</v>
      </c>
      <c r="W112" s="22">
        <f t="shared" si="18"/>
        <v>0.8515138592750533</v>
      </c>
      <c r="X112" s="1">
        <f t="shared" si="19"/>
        <v>0.49852903225806439</v>
      </c>
      <c r="Z112" s="5"/>
      <c r="AA112" s="5"/>
      <c r="AB112" s="5"/>
      <c r="AC112" s="5"/>
    </row>
    <row r="113" spans="1:29" x14ac:dyDescent="0.3">
      <c r="A113" s="2">
        <v>112</v>
      </c>
      <c r="B113" s="2" t="s">
        <v>3</v>
      </c>
      <c r="C113" s="2">
        <v>1423</v>
      </c>
      <c r="D113" s="10">
        <v>30</v>
      </c>
      <c r="E113" s="10">
        <v>5</v>
      </c>
      <c r="F113" s="9">
        <v>162</v>
      </c>
      <c r="G113" s="9">
        <v>45</v>
      </c>
      <c r="H113" s="7">
        <v>20</v>
      </c>
      <c r="I113" s="9">
        <v>13</v>
      </c>
      <c r="J113" s="7">
        <v>12</v>
      </c>
      <c r="L113" s="9">
        <v>29</v>
      </c>
      <c r="N113" s="7">
        <v>20</v>
      </c>
      <c r="O113" s="8">
        <f t="shared" si="10"/>
        <v>150</v>
      </c>
      <c r="P113" s="1">
        <f t="shared" si="11"/>
        <v>960</v>
      </c>
      <c r="Q113" s="1">
        <f t="shared" si="12"/>
        <v>758</v>
      </c>
      <c r="R113" s="2">
        <f t="shared" si="13"/>
        <v>509</v>
      </c>
      <c r="S113" s="1">
        <f t="shared" si="14"/>
        <v>369.98</v>
      </c>
      <c r="T113" s="1">
        <f t="shared" si="15"/>
        <v>360.88</v>
      </c>
      <c r="U113" s="22">
        <f t="shared" si="16"/>
        <v>0.67150395778364114</v>
      </c>
      <c r="V113" s="22">
        <f t="shared" si="17"/>
        <v>0.97540407589599443</v>
      </c>
      <c r="W113" s="22">
        <f t="shared" si="18"/>
        <v>0.7268762278978389</v>
      </c>
      <c r="X113" s="1">
        <f t="shared" si="19"/>
        <v>0.47609498680738788</v>
      </c>
      <c r="Z113" s="5"/>
      <c r="AA113" s="5"/>
      <c r="AB113" s="5"/>
      <c r="AC113" s="5"/>
    </row>
    <row r="114" spans="1:29" x14ac:dyDescent="0.3">
      <c r="A114" s="2">
        <v>113</v>
      </c>
      <c r="B114" s="2" t="s">
        <v>5</v>
      </c>
      <c r="C114" s="2">
        <v>1428</v>
      </c>
      <c r="D114" s="10">
        <v>18</v>
      </c>
      <c r="E114" s="10">
        <v>19</v>
      </c>
      <c r="F114" s="9">
        <v>196</v>
      </c>
      <c r="G114" s="9">
        <v>42</v>
      </c>
      <c r="H114" s="7">
        <v>17</v>
      </c>
      <c r="I114" s="9">
        <v>21</v>
      </c>
      <c r="J114" s="7">
        <v>13</v>
      </c>
      <c r="K114" s="9">
        <v>31</v>
      </c>
      <c r="L114" s="9">
        <v>32</v>
      </c>
      <c r="N114" s="7">
        <v>14</v>
      </c>
      <c r="O114" s="8">
        <f t="shared" si="10"/>
        <v>150</v>
      </c>
      <c r="P114" s="1">
        <f t="shared" si="11"/>
        <v>960</v>
      </c>
      <c r="Q114" s="1">
        <f t="shared" si="12"/>
        <v>766</v>
      </c>
      <c r="R114" s="2">
        <f t="shared" si="13"/>
        <v>444</v>
      </c>
      <c r="S114" s="1">
        <f t="shared" si="14"/>
        <v>371.28000000000003</v>
      </c>
      <c r="T114" s="1">
        <f t="shared" si="15"/>
        <v>361.66</v>
      </c>
      <c r="U114" s="22">
        <f t="shared" si="16"/>
        <v>0.57963446475195823</v>
      </c>
      <c r="V114" s="22">
        <f t="shared" si="17"/>
        <v>0.97408963585434172</v>
      </c>
      <c r="W114" s="22">
        <f t="shared" si="18"/>
        <v>0.83621621621621633</v>
      </c>
      <c r="X114" s="1">
        <f t="shared" si="19"/>
        <v>0.47214099216710187</v>
      </c>
      <c r="Z114" s="5"/>
      <c r="AA114" s="5"/>
      <c r="AB114" s="5"/>
      <c r="AC114" s="5"/>
    </row>
    <row r="115" spans="1:29" x14ac:dyDescent="0.3">
      <c r="A115" s="2">
        <v>114</v>
      </c>
      <c r="B115" s="2" t="s">
        <v>2</v>
      </c>
      <c r="C115" s="2">
        <v>1408</v>
      </c>
      <c r="D115" s="10">
        <v>29</v>
      </c>
      <c r="E115" s="10">
        <v>7</v>
      </c>
      <c r="F115" s="9">
        <v>189</v>
      </c>
      <c r="G115" s="9">
        <v>38</v>
      </c>
      <c r="H115" s="7">
        <v>15</v>
      </c>
      <c r="I115" s="9">
        <v>15</v>
      </c>
      <c r="J115" s="7">
        <v>8</v>
      </c>
      <c r="K115" s="9">
        <v>37</v>
      </c>
      <c r="L115" s="9">
        <v>34</v>
      </c>
      <c r="N115" s="7">
        <v>17</v>
      </c>
      <c r="O115" s="8">
        <f t="shared" si="10"/>
        <v>150</v>
      </c>
      <c r="P115" s="1">
        <f t="shared" si="11"/>
        <v>960</v>
      </c>
      <c r="Q115" s="1">
        <f t="shared" si="12"/>
        <v>770</v>
      </c>
      <c r="R115" s="2">
        <f t="shared" si="13"/>
        <v>457</v>
      </c>
      <c r="S115" s="1">
        <f t="shared" si="14"/>
        <v>366.08000000000004</v>
      </c>
      <c r="T115" s="1">
        <f t="shared" si="15"/>
        <v>356.72</v>
      </c>
      <c r="U115" s="22">
        <f t="shared" si="16"/>
        <v>0.59350649350649354</v>
      </c>
      <c r="V115" s="22">
        <f t="shared" si="17"/>
        <v>0.97443181818181823</v>
      </c>
      <c r="W115" s="22">
        <f t="shared" si="18"/>
        <v>0.80105032822757116</v>
      </c>
      <c r="X115" s="1">
        <f t="shared" si="19"/>
        <v>0.46327272727272739</v>
      </c>
      <c r="Z115" s="5"/>
      <c r="AA115" s="5"/>
      <c r="AB115" s="5"/>
      <c r="AC115" s="5"/>
    </row>
    <row r="116" spans="1:29" x14ac:dyDescent="0.3">
      <c r="A116" s="2">
        <v>115</v>
      </c>
      <c r="B116" s="2" t="s">
        <v>3</v>
      </c>
      <c r="C116" s="2">
        <v>1434</v>
      </c>
      <c r="D116" s="10">
        <v>13</v>
      </c>
      <c r="E116" s="10">
        <v>13</v>
      </c>
      <c r="F116" s="9">
        <v>205</v>
      </c>
      <c r="G116" s="9">
        <v>41</v>
      </c>
      <c r="H116" s="7">
        <v>16</v>
      </c>
      <c r="I116" s="9">
        <v>15</v>
      </c>
      <c r="J116" s="7">
        <v>7</v>
      </c>
      <c r="K116" s="9">
        <v>32</v>
      </c>
      <c r="L116" s="9">
        <v>36</v>
      </c>
      <c r="N116" s="7">
        <v>17</v>
      </c>
      <c r="O116" s="8">
        <f t="shared" si="10"/>
        <v>150</v>
      </c>
      <c r="P116" s="1">
        <f t="shared" si="11"/>
        <v>960</v>
      </c>
      <c r="Q116" s="1">
        <f t="shared" si="12"/>
        <v>770</v>
      </c>
      <c r="R116" s="2">
        <f t="shared" si="13"/>
        <v>441</v>
      </c>
      <c r="S116" s="1">
        <f t="shared" si="14"/>
        <v>372.84000000000003</v>
      </c>
      <c r="T116" s="1">
        <f t="shared" si="15"/>
        <v>366.08000000000004</v>
      </c>
      <c r="U116" s="22">
        <f t="shared" si="16"/>
        <v>0.57272727272727275</v>
      </c>
      <c r="V116" s="22">
        <f t="shared" si="17"/>
        <v>0.98186889818688983</v>
      </c>
      <c r="W116" s="22">
        <f t="shared" si="18"/>
        <v>0.84544217687074841</v>
      </c>
      <c r="X116" s="1">
        <f t="shared" si="19"/>
        <v>0.47542857142857153</v>
      </c>
      <c r="Z116" s="5"/>
      <c r="AA116" s="5"/>
      <c r="AB116" s="5"/>
      <c r="AC116" s="5"/>
    </row>
    <row r="117" spans="1:29" x14ac:dyDescent="0.3">
      <c r="A117" s="2">
        <v>116</v>
      </c>
      <c r="B117" s="2" t="s">
        <v>4</v>
      </c>
      <c r="C117" s="2">
        <v>1429</v>
      </c>
      <c r="D117" s="10">
        <v>12</v>
      </c>
      <c r="E117" s="10">
        <v>37</v>
      </c>
      <c r="F117" s="9">
        <v>173</v>
      </c>
      <c r="G117" s="9">
        <v>43</v>
      </c>
      <c r="H117" s="7">
        <v>18</v>
      </c>
      <c r="I117" s="9">
        <v>12</v>
      </c>
      <c r="J117" s="7">
        <v>6</v>
      </c>
      <c r="K117" s="9">
        <v>39</v>
      </c>
      <c r="L117" s="9">
        <v>32</v>
      </c>
      <c r="N117" s="7">
        <v>12</v>
      </c>
      <c r="O117" s="8">
        <f t="shared" si="10"/>
        <v>150</v>
      </c>
      <c r="P117" s="1">
        <f t="shared" si="11"/>
        <v>960</v>
      </c>
      <c r="Q117" s="1">
        <f t="shared" si="12"/>
        <v>774</v>
      </c>
      <c r="R117" s="2">
        <f t="shared" si="13"/>
        <v>475</v>
      </c>
      <c r="S117" s="1">
        <f t="shared" si="14"/>
        <v>371.54</v>
      </c>
      <c r="T117" s="1">
        <f t="shared" si="15"/>
        <v>358.8</v>
      </c>
      <c r="U117" s="22">
        <f t="shared" si="16"/>
        <v>0.6136950904392765</v>
      </c>
      <c r="V117" s="22">
        <f t="shared" si="17"/>
        <v>0.9657102869139258</v>
      </c>
      <c r="W117" s="22">
        <f t="shared" si="18"/>
        <v>0.78218947368421055</v>
      </c>
      <c r="X117" s="1">
        <f t="shared" si="19"/>
        <v>0.4635658914728682</v>
      </c>
      <c r="Z117" s="5"/>
      <c r="AA117" s="5"/>
      <c r="AB117" s="5"/>
      <c r="AC117" s="5"/>
    </row>
    <row r="118" spans="1:29" x14ac:dyDescent="0.3">
      <c r="A118" s="2">
        <v>117</v>
      </c>
      <c r="B118" s="2" t="s">
        <v>3</v>
      </c>
      <c r="C118" s="2">
        <v>1415</v>
      </c>
      <c r="D118" s="10">
        <v>20</v>
      </c>
      <c r="E118" s="10">
        <v>20</v>
      </c>
      <c r="F118" s="9">
        <v>223</v>
      </c>
      <c r="G118" s="9">
        <v>41</v>
      </c>
      <c r="H118" s="7">
        <v>18</v>
      </c>
      <c r="I118" s="9">
        <v>13</v>
      </c>
      <c r="J118" s="7">
        <v>8</v>
      </c>
      <c r="K118" s="9">
        <v>15</v>
      </c>
      <c r="L118" s="9">
        <v>31</v>
      </c>
      <c r="N118" s="7">
        <v>16</v>
      </c>
      <c r="O118" s="8">
        <f t="shared" si="10"/>
        <v>150</v>
      </c>
      <c r="P118" s="1">
        <f t="shared" si="11"/>
        <v>960</v>
      </c>
      <c r="Q118" s="1">
        <f t="shared" si="12"/>
        <v>768</v>
      </c>
      <c r="R118" s="2">
        <f t="shared" si="13"/>
        <v>445</v>
      </c>
      <c r="S118" s="1">
        <f t="shared" si="14"/>
        <v>367.90000000000003</v>
      </c>
      <c r="T118" s="1">
        <f t="shared" si="15"/>
        <v>357.5</v>
      </c>
      <c r="U118" s="22">
        <f t="shared" si="16"/>
        <v>0.57942708333333337</v>
      </c>
      <c r="V118" s="22">
        <f t="shared" si="17"/>
        <v>0.9717314487632509</v>
      </c>
      <c r="W118" s="22">
        <f t="shared" si="18"/>
        <v>0.82674157303370799</v>
      </c>
      <c r="X118" s="1">
        <f t="shared" si="19"/>
        <v>0.46549479166666674</v>
      </c>
      <c r="Z118" s="5"/>
      <c r="AA118" s="5"/>
      <c r="AB118" s="5"/>
      <c r="AC118" s="5"/>
    </row>
    <row r="119" spans="1:29" x14ac:dyDescent="0.3">
      <c r="A119" s="2">
        <v>118</v>
      </c>
      <c r="B119" s="2" t="s">
        <v>5</v>
      </c>
      <c r="C119" s="2">
        <v>1389</v>
      </c>
      <c r="D119" s="10">
        <v>10</v>
      </c>
      <c r="E119" s="10">
        <v>5</v>
      </c>
      <c r="F119" s="9">
        <v>207</v>
      </c>
      <c r="G119" s="9">
        <v>48</v>
      </c>
      <c r="H119" s="7">
        <v>16</v>
      </c>
      <c r="I119" s="9">
        <v>20</v>
      </c>
      <c r="J119" s="7">
        <v>9</v>
      </c>
      <c r="K119" s="9">
        <v>20</v>
      </c>
      <c r="L119" s="9">
        <v>27</v>
      </c>
      <c r="N119" s="7">
        <v>17</v>
      </c>
      <c r="O119" s="8">
        <f t="shared" si="10"/>
        <v>150</v>
      </c>
      <c r="P119" s="1">
        <f t="shared" si="11"/>
        <v>960</v>
      </c>
      <c r="Q119" s="1">
        <f t="shared" si="12"/>
        <v>768</v>
      </c>
      <c r="R119" s="2">
        <f t="shared" si="13"/>
        <v>446</v>
      </c>
      <c r="S119" s="1">
        <f t="shared" si="14"/>
        <v>361.14</v>
      </c>
      <c r="T119" s="1">
        <f t="shared" si="15"/>
        <v>357.24</v>
      </c>
      <c r="U119" s="22">
        <f t="shared" si="16"/>
        <v>0.58072916666666663</v>
      </c>
      <c r="V119" s="22">
        <f t="shared" si="17"/>
        <v>0.98920086393088558</v>
      </c>
      <c r="W119" s="22">
        <f t="shared" si="18"/>
        <v>0.80973094170403581</v>
      </c>
      <c r="X119" s="1">
        <f t="shared" si="19"/>
        <v>0.46515624999999999</v>
      </c>
      <c r="Z119" s="5"/>
      <c r="AA119" s="5"/>
      <c r="AB119" s="5"/>
      <c r="AC119" s="5"/>
    </row>
    <row r="120" spans="1:29" x14ac:dyDescent="0.3">
      <c r="A120" s="2">
        <v>119</v>
      </c>
      <c r="B120" s="2" t="s">
        <v>3</v>
      </c>
      <c r="C120" s="2">
        <v>1350</v>
      </c>
      <c r="D120" s="10">
        <v>23</v>
      </c>
      <c r="E120" s="10">
        <v>37</v>
      </c>
      <c r="F120" s="9">
        <v>195</v>
      </c>
      <c r="G120" s="9">
        <v>50</v>
      </c>
      <c r="H120" s="7">
        <v>18</v>
      </c>
      <c r="I120" s="9">
        <v>16</v>
      </c>
      <c r="J120" s="7">
        <v>13</v>
      </c>
      <c r="K120" s="9">
        <v>37</v>
      </c>
      <c r="L120" s="9">
        <v>33</v>
      </c>
      <c r="N120" s="7">
        <v>18</v>
      </c>
      <c r="O120" s="8">
        <f t="shared" si="10"/>
        <v>150</v>
      </c>
      <c r="P120" s="1">
        <f t="shared" si="11"/>
        <v>960</v>
      </c>
      <c r="Q120" s="1">
        <f t="shared" si="12"/>
        <v>761</v>
      </c>
      <c r="R120" s="2">
        <f t="shared" si="13"/>
        <v>430</v>
      </c>
      <c r="S120" s="1">
        <f t="shared" si="14"/>
        <v>351</v>
      </c>
      <c r="T120" s="1">
        <f t="shared" si="15"/>
        <v>335.40000000000003</v>
      </c>
      <c r="U120" s="22">
        <f t="shared" si="16"/>
        <v>0.56504599211563733</v>
      </c>
      <c r="V120" s="22">
        <f t="shared" si="17"/>
        <v>0.9555555555555556</v>
      </c>
      <c r="W120" s="22">
        <f t="shared" si="18"/>
        <v>0.81627906976744191</v>
      </c>
      <c r="X120" s="1">
        <f t="shared" si="19"/>
        <v>0.44073587385019714</v>
      </c>
      <c r="Z120" s="5"/>
      <c r="AA120" s="5"/>
      <c r="AB120" s="5"/>
      <c r="AC120" s="5"/>
    </row>
    <row r="121" spans="1:29" x14ac:dyDescent="0.3">
      <c r="A121" s="2">
        <v>120</v>
      </c>
      <c r="B121" s="2" t="s">
        <v>5</v>
      </c>
      <c r="C121" s="2">
        <v>1455</v>
      </c>
      <c r="D121" s="10">
        <v>21</v>
      </c>
      <c r="E121" s="10">
        <v>47</v>
      </c>
      <c r="F121" s="9">
        <v>192</v>
      </c>
      <c r="G121" s="9">
        <v>33</v>
      </c>
      <c r="H121" s="7">
        <v>20</v>
      </c>
      <c r="I121" s="9">
        <v>18</v>
      </c>
      <c r="J121" s="7">
        <v>7</v>
      </c>
      <c r="K121" s="9">
        <v>20</v>
      </c>
      <c r="L121" s="9">
        <v>33</v>
      </c>
      <c r="M121" s="7">
        <v>40</v>
      </c>
      <c r="N121" s="7">
        <v>19</v>
      </c>
      <c r="O121" s="8">
        <f t="shared" si="10"/>
        <v>150</v>
      </c>
      <c r="P121" s="1">
        <f t="shared" si="11"/>
        <v>960</v>
      </c>
      <c r="Q121" s="1">
        <f t="shared" si="12"/>
        <v>724</v>
      </c>
      <c r="R121" s="2">
        <f t="shared" si="13"/>
        <v>428</v>
      </c>
      <c r="S121" s="1">
        <f t="shared" si="14"/>
        <v>378.3</v>
      </c>
      <c r="T121" s="1">
        <f t="shared" si="15"/>
        <v>360.62</v>
      </c>
      <c r="U121" s="22">
        <f t="shared" si="16"/>
        <v>0.59116022099447518</v>
      </c>
      <c r="V121" s="22">
        <f t="shared" si="17"/>
        <v>0.95326460481099662</v>
      </c>
      <c r="W121" s="22">
        <f t="shared" si="18"/>
        <v>0.88387850467289719</v>
      </c>
      <c r="X121" s="1">
        <f t="shared" si="19"/>
        <v>0.49809392265193375</v>
      </c>
      <c r="Z121" s="5"/>
      <c r="AA121" s="5"/>
      <c r="AB121" s="5"/>
      <c r="AC121" s="5"/>
    </row>
    <row r="122" spans="1:29" x14ac:dyDescent="0.3">
      <c r="A122" s="2">
        <v>121</v>
      </c>
      <c r="B122" s="2" t="s">
        <v>2</v>
      </c>
      <c r="C122" s="2">
        <v>1449</v>
      </c>
      <c r="D122" s="10">
        <v>28</v>
      </c>
      <c r="E122" s="10">
        <v>35</v>
      </c>
      <c r="F122" s="9">
        <v>225</v>
      </c>
      <c r="G122" s="9">
        <v>54</v>
      </c>
      <c r="H122" s="7">
        <v>19</v>
      </c>
      <c r="I122" s="9">
        <v>13</v>
      </c>
      <c r="J122" s="7">
        <v>10</v>
      </c>
      <c r="K122" s="9">
        <v>37</v>
      </c>
      <c r="L122" s="9">
        <v>34</v>
      </c>
      <c r="N122" s="7">
        <v>13</v>
      </c>
      <c r="O122" s="8">
        <f t="shared" si="10"/>
        <v>150</v>
      </c>
      <c r="P122" s="1">
        <f t="shared" si="11"/>
        <v>960</v>
      </c>
      <c r="Q122" s="1">
        <f t="shared" si="12"/>
        <v>768</v>
      </c>
      <c r="R122" s="2">
        <f t="shared" si="13"/>
        <v>405</v>
      </c>
      <c r="S122" s="1">
        <f t="shared" si="14"/>
        <v>376.74</v>
      </c>
      <c r="T122" s="1">
        <f t="shared" si="15"/>
        <v>360.36</v>
      </c>
      <c r="U122" s="22">
        <f t="shared" si="16"/>
        <v>0.52734375</v>
      </c>
      <c r="V122" s="22">
        <f t="shared" si="17"/>
        <v>0.95652173913043481</v>
      </c>
      <c r="W122" s="22">
        <f t="shared" si="18"/>
        <v>0.93022222222222228</v>
      </c>
      <c r="X122" s="1">
        <f t="shared" si="19"/>
        <v>0.46921875000000002</v>
      </c>
      <c r="Z122" s="5"/>
      <c r="AA122" s="5"/>
      <c r="AB122" s="5"/>
      <c r="AC122" s="5"/>
    </row>
    <row r="123" spans="1:29" x14ac:dyDescent="0.3">
      <c r="A123" s="2">
        <v>122</v>
      </c>
      <c r="B123" s="2" t="s">
        <v>4</v>
      </c>
      <c r="C123" s="2">
        <v>1560</v>
      </c>
      <c r="D123" s="10">
        <v>13</v>
      </c>
      <c r="E123" s="10">
        <v>47</v>
      </c>
      <c r="F123" s="9">
        <v>226</v>
      </c>
      <c r="G123" s="9">
        <v>55</v>
      </c>
      <c r="H123" s="7">
        <v>16</v>
      </c>
      <c r="I123" s="9">
        <v>23</v>
      </c>
      <c r="J123" s="7">
        <v>11</v>
      </c>
      <c r="K123" s="9">
        <v>33</v>
      </c>
      <c r="L123" s="9">
        <v>34</v>
      </c>
      <c r="N123" s="7">
        <v>15</v>
      </c>
      <c r="O123" s="8">
        <f t="shared" si="10"/>
        <v>150</v>
      </c>
      <c r="P123" s="1">
        <f t="shared" si="11"/>
        <v>960</v>
      </c>
      <c r="Q123" s="1">
        <f t="shared" si="12"/>
        <v>768</v>
      </c>
      <c r="R123" s="2">
        <f t="shared" si="13"/>
        <v>397</v>
      </c>
      <c r="S123" s="1">
        <f t="shared" si="14"/>
        <v>405.6</v>
      </c>
      <c r="T123" s="1">
        <f t="shared" si="15"/>
        <v>390</v>
      </c>
      <c r="U123" s="22">
        <f t="shared" si="16"/>
        <v>0.51692708333333337</v>
      </c>
      <c r="V123" s="22">
        <f t="shared" si="17"/>
        <v>0.96153846153846156</v>
      </c>
      <c r="W123" s="22">
        <f t="shared" si="18"/>
        <v>1.021662468513854</v>
      </c>
      <c r="X123" s="1">
        <f t="shared" si="19"/>
        <v>0.50781250000000011</v>
      </c>
      <c r="Z123" s="5"/>
      <c r="AA123" s="5"/>
      <c r="AB123" s="5"/>
      <c r="AC123" s="5"/>
    </row>
    <row r="124" spans="1:29" x14ac:dyDescent="0.3">
      <c r="A124" s="2">
        <v>123</v>
      </c>
      <c r="B124" s="2" t="s">
        <v>3</v>
      </c>
      <c r="C124" s="2">
        <v>1479</v>
      </c>
      <c r="D124" s="10">
        <v>22</v>
      </c>
      <c r="E124" s="10">
        <v>38</v>
      </c>
      <c r="F124" s="9">
        <v>198</v>
      </c>
      <c r="G124" s="9">
        <v>41</v>
      </c>
      <c r="H124" s="7">
        <v>16</v>
      </c>
      <c r="I124" s="9">
        <v>20</v>
      </c>
      <c r="J124" s="7">
        <v>11</v>
      </c>
      <c r="K124" s="9">
        <v>23</v>
      </c>
      <c r="L124" s="9">
        <v>27</v>
      </c>
      <c r="N124" s="7">
        <v>20</v>
      </c>
      <c r="O124" s="8">
        <f t="shared" si="10"/>
        <v>150</v>
      </c>
      <c r="P124" s="1">
        <f t="shared" si="11"/>
        <v>960</v>
      </c>
      <c r="Q124" s="1">
        <f t="shared" si="12"/>
        <v>763</v>
      </c>
      <c r="R124" s="2">
        <f t="shared" si="13"/>
        <v>454</v>
      </c>
      <c r="S124" s="1">
        <f t="shared" si="14"/>
        <v>384.54</v>
      </c>
      <c r="T124" s="1">
        <f t="shared" si="15"/>
        <v>368.94</v>
      </c>
      <c r="U124" s="22">
        <f t="shared" si="16"/>
        <v>0.59501965923984268</v>
      </c>
      <c r="V124" s="22">
        <f t="shared" si="17"/>
        <v>0.95943204868154153</v>
      </c>
      <c r="W124" s="22">
        <f t="shared" si="18"/>
        <v>0.84700440528634369</v>
      </c>
      <c r="X124" s="1">
        <f t="shared" si="19"/>
        <v>0.4835386631716907</v>
      </c>
      <c r="Z124" s="5"/>
      <c r="AA124" s="5"/>
      <c r="AB124" s="5"/>
      <c r="AC124" s="5"/>
    </row>
    <row r="125" spans="1:29" x14ac:dyDescent="0.3">
      <c r="A125" s="2">
        <v>124</v>
      </c>
      <c r="B125" s="2" t="s">
        <v>5</v>
      </c>
      <c r="C125" s="2">
        <v>1470</v>
      </c>
      <c r="D125" s="10">
        <v>27</v>
      </c>
      <c r="E125" s="10">
        <v>27</v>
      </c>
      <c r="F125" s="9">
        <v>221</v>
      </c>
      <c r="G125" s="9">
        <v>46</v>
      </c>
      <c r="H125" s="7">
        <v>17</v>
      </c>
      <c r="I125" s="9">
        <v>22</v>
      </c>
      <c r="J125" s="7">
        <v>12</v>
      </c>
      <c r="K125" s="9">
        <v>37</v>
      </c>
      <c r="L125" s="9">
        <v>29</v>
      </c>
      <c r="N125" s="7">
        <v>16</v>
      </c>
      <c r="O125" s="8">
        <f t="shared" si="10"/>
        <v>150</v>
      </c>
      <c r="P125" s="1">
        <f t="shared" si="11"/>
        <v>960</v>
      </c>
      <c r="Q125" s="1">
        <f t="shared" si="12"/>
        <v>765</v>
      </c>
      <c r="R125" s="2">
        <f t="shared" si="13"/>
        <v>410</v>
      </c>
      <c r="S125" s="1">
        <f t="shared" si="14"/>
        <v>382.2</v>
      </c>
      <c r="T125" s="1">
        <f t="shared" si="15"/>
        <v>368.16</v>
      </c>
      <c r="U125" s="22">
        <f t="shared" si="16"/>
        <v>0.53594771241830064</v>
      </c>
      <c r="V125" s="22">
        <f t="shared" si="17"/>
        <v>0.96326530612244898</v>
      </c>
      <c r="W125" s="22">
        <f t="shared" si="18"/>
        <v>0.93219512195121945</v>
      </c>
      <c r="X125" s="1">
        <f t="shared" si="19"/>
        <v>0.4812549019607843</v>
      </c>
      <c r="Z125" s="5"/>
      <c r="AA125" s="5"/>
      <c r="AB125" s="5"/>
      <c r="AC125" s="5"/>
    </row>
    <row r="126" spans="1:29" x14ac:dyDescent="0.3">
      <c r="A126" s="2">
        <v>125</v>
      </c>
      <c r="B126" s="2" t="s">
        <v>4</v>
      </c>
      <c r="C126" s="2">
        <v>1288</v>
      </c>
      <c r="D126" s="10">
        <v>28</v>
      </c>
      <c r="E126" s="10">
        <v>23</v>
      </c>
      <c r="F126" s="9">
        <v>155</v>
      </c>
      <c r="G126" s="9">
        <v>44</v>
      </c>
      <c r="H126" s="7">
        <v>18</v>
      </c>
      <c r="I126" s="9">
        <v>19</v>
      </c>
      <c r="J126" s="7">
        <v>7</v>
      </c>
      <c r="K126" s="9">
        <v>36</v>
      </c>
      <c r="L126" s="9">
        <v>34</v>
      </c>
      <c r="N126" s="7">
        <v>15</v>
      </c>
      <c r="O126" s="8">
        <f t="shared" si="10"/>
        <v>150</v>
      </c>
      <c r="P126" s="1">
        <f t="shared" si="11"/>
        <v>960</v>
      </c>
      <c r="Q126" s="1">
        <f t="shared" si="12"/>
        <v>770</v>
      </c>
      <c r="R126" s="2">
        <f t="shared" si="13"/>
        <v>482</v>
      </c>
      <c r="S126" s="1">
        <f t="shared" si="14"/>
        <v>334.88</v>
      </c>
      <c r="T126" s="1">
        <f t="shared" si="15"/>
        <v>321.62</v>
      </c>
      <c r="U126" s="22">
        <f t="shared" si="16"/>
        <v>0.62597402597402596</v>
      </c>
      <c r="V126" s="22">
        <f t="shared" si="17"/>
        <v>0.9604037267080745</v>
      </c>
      <c r="W126" s="22">
        <f t="shared" si="18"/>
        <v>0.69477178423236519</v>
      </c>
      <c r="X126" s="1">
        <f t="shared" si="19"/>
        <v>0.41768831168831172</v>
      </c>
      <c r="Z126" s="5"/>
      <c r="AA126" s="5"/>
      <c r="AB126" s="5"/>
      <c r="AC126" s="5"/>
    </row>
    <row r="127" spans="1:29" x14ac:dyDescent="0.3">
      <c r="A127" s="2">
        <v>126</v>
      </c>
      <c r="B127" s="2" t="s">
        <v>3</v>
      </c>
      <c r="C127" s="2">
        <v>1396</v>
      </c>
      <c r="D127" s="10">
        <v>19</v>
      </c>
      <c r="E127" s="10">
        <v>25</v>
      </c>
      <c r="F127" s="9">
        <v>117</v>
      </c>
      <c r="G127" s="9">
        <v>44</v>
      </c>
      <c r="H127" s="7">
        <v>20</v>
      </c>
      <c r="I127" s="9">
        <v>20</v>
      </c>
      <c r="J127" s="7">
        <v>11</v>
      </c>
      <c r="K127" s="9">
        <v>30</v>
      </c>
      <c r="L127" s="9">
        <v>33</v>
      </c>
      <c r="N127" s="7">
        <v>20</v>
      </c>
      <c r="O127" s="8">
        <f t="shared" si="10"/>
        <v>150</v>
      </c>
      <c r="P127" s="1">
        <f t="shared" si="11"/>
        <v>960</v>
      </c>
      <c r="Q127" s="1">
        <f t="shared" si="12"/>
        <v>759</v>
      </c>
      <c r="R127" s="2">
        <f t="shared" si="13"/>
        <v>515</v>
      </c>
      <c r="S127" s="1">
        <f t="shared" si="14"/>
        <v>362.96000000000004</v>
      </c>
      <c r="T127" s="1">
        <f t="shared" si="15"/>
        <v>351.52000000000004</v>
      </c>
      <c r="U127" s="22">
        <f t="shared" si="16"/>
        <v>0.6785243741765481</v>
      </c>
      <c r="V127" s="22">
        <f t="shared" si="17"/>
        <v>0.96848137535816614</v>
      </c>
      <c r="W127" s="22">
        <f t="shared" si="18"/>
        <v>0.70477669902912632</v>
      </c>
      <c r="X127" s="1">
        <f t="shared" si="19"/>
        <v>0.46313570487483535</v>
      </c>
      <c r="Z127" s="5"/>
      <c r="AA127" s="5"/>
      <c r="AB127" s="5"/>
      <c r="AC127" s="5"/>
    </row>
    <row r="128" spans="1:29" x14ac:dyDescent="0.3">
      <c r="A128" s="2">
        <v>127</v>
      </c>
      <c r="B128" s="2" t="s">
        <v>2</v>
      </c>
      <c r="C128" s="2">
        <v>1346</v>
      </c>
      <c r="D128" s="10">
        <v>14</v>
      </c>
      <c r="E128" s="10">
        <v>41</v>
      </c>
      <c r="F128" s="9">
        <v>157</v>
      </c>
      <c r="G128" s="9">
        <v>32</v>
      </c>
      <c r="H128" s="7">
        <v>20</v>
      </c>
      <c r="I128" s="9">
        <v>15</v>
      </c>
      <c r="J128" s="7">
        <v>7</v>
      </c>
      <c r="K128" s="9">
        <v>17</v>
      </c>
      <c r="L128" s="9">
        <v>33</v>
      </c>
      <c r="N128" s="7">
        <v>12</v>
      </c>
      <c r="O128" s="8">
        <f t="shared" si="10"/>
        <v>150</v>
      </c>
      <c r="P128" s="1">
        <f t="shared" si="11"/>
        <v>960</v>
      </c>
      <c r="Q128" s="1">
        <f t="shared" si="12"/>
        <v>771</v>
      </c>
      <c r="R128" s="2">
        <f t="shared" si="13"/>
        <v>517</v>
      </c>
      <c r="S128" s="1">
        <f t="shared" si="14"/>
        <v>349.96000000000004</v>
      </c>
      <c r="T128" s="1">
        <f t="shared" si="15"/>
        <v>335.66</v>
      </c>
      <c r="U128" s="22">
        <f t="shared" si="16"/>
        <v>0.6705577172503242</v>
      </c>
      <c r="V128" s="22">
        <f t="shared" si="17"/>
        <v>0.95913818722139677</v>
      </c>
      <c r="W128" s="22">
        <f t="shared" si="18"/>
        <v>0.67690522243713735</v>
      </c>
      <c r="X128" s="1">
        <f t="shared" si="19"/>
        <v>0.43535667963683528</v>
      </c>
      <c r="Z128" s="5"/>
      <c r="AA128" s="5"/>
      <c r="AB128" s="5"/>
      <c r="AC128" s="5"/>
    </row>
    <row r="129" spans="1:29" x14ac:dyDescent="0.3">
      <c r="A129" s="2">
        <v>128</v>
      </c>
      <c r="B129" s="2" t="s">
        <v>4</v>
      </c>
      <c r="C129" s="2">
        <v>1299</v>
      </c>
      <c r="D129" s="10">
        <v>28</v>
      </c>
      <c r="E129" s="10">
        <v>39</v>
      </c>
      <c r="F129" s="9">
        <v>130</v>
      </c>
      <c r="G129" s="9">
        <v>49</v>
      </c>
      <c r="H129" s="7">
        <v>16</v>
      </c>
      <c r="I129" s="9">
        <v>18</v>
      </c>
      <c r="J129" s="7">
        <v>7</v>
      </c>
      <c r="K129" s="9">
        <v>19</v>
      </c>
      <c r="L129" s="9">
        <v>30</v>
      </c>
      <c r="N129" s="7">
        <v>18</v>
      </c>
      <c r="O129" s="8">
        <f t="shared" si="10"/>
        <v>150</v>
      </c>
      <c r="P129" s="1">
        <f t="shared" si="11"/>
        <v>960</v>
      </c>
      <c r="Q129" s="1">
        <f t="shared" si="12"/>
        <v>769</v>
      </c>
      <c r="R129" s="2">
        <f t="shared" si="13"/>
        <v>523</v>
      </c>
      <c r="S129" s="1">
        <f t="shared" si="14"/>
        <v>337.74</v>
      </c>
      <c r="T129" s="1">
        <f t="shared" si="15"/>
        <v>320.32</v>
      </c>
      <c r="U129" s="22">
        <f t="shared" si="16"/>
        <v>0.6801040312093628</v>
      </c>
      <c r="V129" s="22">
        <f t="shared" si="17"/>
        <v>0.94842186297151654</v>
      </c>
      <c r="W129" s="22">
        <f t="shared" si="18"/>
        <v>0.64577437858508602</v>
      </c>
      <c r="X129" s="1">
        <f t="shared" si="19"/>
        <v>0.41654096228868653</v>
      </c>
      <c r="Z129" s="5"/>
      <c r="AA129" s="5"/>
      <c r="AB129" s="5"/>
      <c r="AC129" s="5"/>
    </row>
    <row r="130" spans="1:29" x14ac:dyDescent="0.3">
      <c r="A130" s="2">
        <v>129</v>
      </c>
      <c r="B130" s="2" t="s">
        <v>3</v>
      </c>
      <c r="C130" s="2">
        <v>1359</v>
      </c>
      <c r="D130" s="10">
        <v>11</v>
      </c>
      <c r="E130" s="10">
        <v>45</v>
      </c>
      <c r="F130" s="9">
        <v>141</v>
      </c>
      <c r="G130" s="9">
        <v>45</v>
      </c>
      <c r="H130" s="7">
        <v>18</v>
      </c>
      <c r="I130" s="9">
        <v>22</v>
      </c>
      <c r="J130" s="7">
        <v>7</v>
      </c>
      <c r="K130" s="9">
        <v>23</v>
      </c>
      <c r="L130" s="9">
        <v>27</v>
      </c>
      <c r="N130" s="7">
        <v>14</v>
      </c>
      <c r="O130" s="8">
        <f t="shared" si="10"/>
        <v>150</v>
      </c>
      <c r="P130" s="1">
        <f t="shared" si="11"/>
        <v>960</v>
      </c>
      <c r="Q130" s="1">
        <f t="shared" si="12"/>
        <v>771</v>
      </c>
      <c r="R130" s="2">
        <f t="shared" si="13"/>
        <v>513</v>
      </c>
      <c r="S130" s="1">
        <f t="shared" si="14"/>
        <v>353.34000000000003</v>
      </c>
      <c r="T130" s="1">
        <f t="shared" si="15"/>
        <v>338.78000000000003</v>
      </c>
      <c r="U130" s="22">
        <f t="shared" si="16"/>
        <v>0.66536964980544744</v>
      </c>
      <c r="V130" s="22">
        <f t="shared" si="17"/>
        <v>0.95879323031640917</v>
      </c>
      <c r="W130" s="22">
        <f t="shared" si="18"/>
        <v>0.68877192982456148</v>
      </c>
      <c r="X130" s="1">
        <f t="shared" si="19"/>
        <v>0.43940337224383919</v>
      </c>
      <c r="Z130" s="5"/>
      <c r="AA130" s="5"/>
      <c r="AB130" s="5"/>
      <c r="AC130" s="5"/>
    </row>
    <row r="131" spans="1:29" x14ac:dyDescent="0.3">
      <c r="A131" s="2">
        <v>130</v>
      </c>
      <c r="B131" s="2" t="s">
        <v>3</v>
      </c>
      <c r="C131" s="2">
        <v>1405</v>
      </c>
      <c r="D131" s="10">
        <v>28</v>
      </c>
      <c r="E131" s="10">
        <v>22</v>
      </c>
      <c r="F131" s="9">
        <v>145</v>
      </c>
      <c r="G131" s="9">
        <v>41</v>
      </c>
      <c r="H131" s="7">
        <v>20</v>
      </c>
      <c r="I131" s="9">
        <v>23</v>
      </c>
      <c r="J131" s="7">
        <v>12</v>
      </c>
      <c r="L131" s="9">
        <v>35</v>
      </c>
      <c r="M131" s="7">
        <v>60</v>
      </c>
      <c r="N131" s="7">
        <v>19</v>
      </c>
      <c r="O131" s="8">
        <f t="shared" ref="O131:O194" si="20">37500/250</f>
        <v>150</v>
      </c>
      <c r="P131" s="1">
        <f t="shared" ref="P131:P194" si="21">4000*60/250</f>
        <v>960</v>
      </c>
      <c r="Q131" s="1">
        <f t="shared" ref="Q131:Q194" si="22">P131-H131-J131-M131-N131-O131</f>
        <v>699</v>
      </c>
      <c r="R131" s="2">
        <f t="shared" ref="R131:R194" si="23">Q131-F131-G131-I131-K131-L131</f>
        <v>455</v>
      </c>
      <c r="S131" s="1">
        <f t="shared" ref="S131:S194" si="24">C131*0.26</f>
        <v>365.3</v>
      </c>
      <c r="T131" s="1">
        <f t="shared" ref="T131:T194" si="25">(C131-D131-E131)*0.26</f>
        <v>352.3</v>
      </c>
      <c r="U131" s="22">
        <f t="shared" ref="U131:U194" si="26">R131/Q131</f>
        <v>0.6509298998569385</v>
      </c>
      <c r="V131" s="22">
        <f t="shared" ref="V131:V194" si="27">(C131-D131-E131)/C131</f>
        <v>0.96441281138790036</v>
      </c>
      <c r="W131" s="22">
        <f t="shared" ref="W131:W194" si="28">S131/R131</f>
        <v>0.80285714285714294</v>
      </c>
      <c r="X131" s="1">
        <f t="shared" ref="X131:X194" si="29">U131*V131*W131</f>
        <v>0.50400572246065822</v>
      </c>
      <c r="Z131" s="5"/>
      <c r="AA131" s="5"/>
      <c r="AB131" s="5"/>
      <c r="AC131" s="5"/>
    </row>
    <row r="132" spans="1:29" x14ac:dyDescent="0.3">
      <c r="A132" s="2">
        <v>131</v>
      </c>
      <c r="B132" s="2" t="s">
        <v>3</v>
      </c>
      <c r="C132" s="2">
        <v>1397</v>
      </c>
      <c r="D132" s="10">
        <v>28</v>
      </c>
      <c r="E132" s="10">
        <v>18</v>
      </c>
      <c r="F132" s="9">
        <v>148</v>
      </c>
      <c r="G132" s="9">
        <v>43</v>
      </c>
      <c r="H132" s="7">
        <v>20</v>
      </c>
      <c r="I132" s="9">
        <v>23</v>
      </c>
      <c r="J132" s="7">
        <v>10</v>
      </c>
      <c r="L132" s="9">
        <v>33</v>
      </c>
      <c r="N132" s="7">
        <v>18</v>
      </c>
      <c r="O132" s="8">
        <f t="shared" si="20"/>
        <v>150</v>
      </c>
      <c r="P132" s="1">
        <f t="shared" si="21"/>
        <v>960</v>
      </c>
      <c r="Q132" s="1">
        <f t="shared" si="22"/>
        <v>762</v>
      </c>
      <c r="R132" s="2">
        <f t="shared" si="23"/>
        <v>515</v>
      </c>
      <c r="S132" s="1">
        <f t="shared" si="24"/>
        <v>363.22</v>
      </c>
      <c r="T132" s="1">
        <f t="shared" si="25"/>
        <v>351.26</v>
      </c>
      <c r="U132" s="22">
        <f t="shared" si="26"/>
        <v>0.6758530183727034</v>
      </c>
      <c r="V132" s="22">
        <f t="shared" si="27"/>
        <v>0.96707229778095916</v>
      </c>
      <c r="W132" s="22">
        <f t="shared" si="28"/>
        <v>0.70528155339805831</v>
      </c>
      <c r="X132" s="1">
        <f t="shared" si="29"/>
        <v>0.46097112860892392</v>
      </c>
      <c r="Z132" s="5"/>
      <c r="AA132" s="5"/>
      <c r="AB132" s="5"/>
      <c r="AC132" s="5"/>
    </row>
    <row r="133" spans="1:29" x14ac:dyDescent="0.3">
      <c r="A133" s="2">
        <v>132</v>
      </c>
      <c r="B133" s="2" t="s">
        <v>5</v>
      </c>
      <c r="C133" s="2">
        <v>1433</v>
      </c>
      <c r="D133" s="10">
        <v>28</v>
      </c>
      <c r="E133" s="10">
        <v>42</v>
      </c>
      <c r="F133" s="9">
        <v>150</v>
      </c>
      <c r="G133" s="9">
        <v>39</v>
      </c>
      <c r="H133" s="7">
        <v>16</v>
      </c>
      <c r="I133" s="9">
        <v>22</v>
      </c>
      <c r="J133" s="7">
        <v>9</v>
      </c>
      <c r="K133" s="9">
        <v>35</v>
      </c>
      <c r="L133" s="9">
        <v>36</v>
      </c>
      <c r="N133" s="7">
        <v>16</v>
      </c>
      <c r="O133" s="8">
        <f t="shared" si="20"/>
        <v>150</v>
      </c>
      <c r="P133" s="1">
        <f t="shared" si="21"/>
        <v>960</v>
      </c>
      <c r="Q133" s="1">
        <f t="shared" si="22"/>
        <v>769</v>
      </c>
      <c r="R133" s="2">
        <f t="shared" si="23"/>
        <v>487</v>
      </c>
      <c r="S133" s="1">
        <f t="shared" si="24"/>
        <v>372.58000000000004</v>
      </c>
      <c r="T133" s="1">
        <f t="shared" si="25"/>
        <v>354.38</v>
      </c>
      <c r="U133" s="22">
        <f t="shared" si="26"/>
        <v>0.63328998699609884</v>
      </c>
      <c r="V133" s="22">
        <f t="shared" si="27"/>
        <v>0.95115143056524776</v>
      </c>
      <c r="W133" s="22">
        <f t="shared" si="28"/>
        <v>0.76505133470225883</v>
      </c>
      <c r="X133" s="1">
        <f t="shared" si="29"/>
        <v>0.46083224967490261</v>
      </c>
      <c r="Z133" s="5"/>
      <c r="AA133" s="5"/>
      <c r="AB133" s="5"/>
      <c r="AC133" s="5"/>
    </row>
    <row r="134" spans="1:29" x14ac:dyDescent="0.3">
      <c r="A134" s="2">
        <v>133</v>
      </c>
      <c r="B134" s="2" t="s">
        <v>5</v>
      </c>
      <c r="C134" s="2">
        <v>1504</v>
      </c>
      <c r="D134" s="10">
        <v>23</v>
      </c>
      <c r="E134" s="10">
        <v>31</v>
      </c>
      <c r="F134" s="9">
        <v>137</v>
      </c>
      <c r="G134" s="9">
        <v>46</v>
      </c>
      <c r="H134" s="7">
        <v>20</v>
      </c>
      <c r="I134" s="9">
        <v>16</v>
      </c>
      <c r="J134" s="7">
        <v>8</v>
      </c>
      <c r="L134" s="9">
        <v>31</v>
      </c>
      <c r="N134" s="7">
        <v>16</v>
      </c>
      <c r="O134" s="8">
        <f t="shared" si="20"/>
        <v>150</v>
      </c>
      <c r="P134" s="1">
        <f t="shared" si="21"/>
        <v>960</v>
      </c>
      <c r="Q134" s="1">
        <f t="shared" si="22"/>
        <v>766</v>
      </c>
      <c r="R134" s="2">
        <f t="shared" si="23"/>
        <v>536</v>
      </c>
      <c r="S134" s="1">
        <f t="shared" si="24"/>
        <v>391.04</v>
      </c>
      <c r="T134" s="1">
        <f t="shared" si="25"/>
        <v>377</v>
      </c>
      <c r="U134" s="22">
        <f t="shared" si="26"/>
        <v>0.69973890339425593</v>
      </c>
      <c r="V134" s="22">
        <f t="shared" si="27"/>
        <v>0.96409574468085102</v>
      </c>
      <c r="W134" s="22">
        <f t="shared" si="28"/>
        <v>0.7295522388059702</v>
      </c>
      <c r="X134" s="1">
        <f t="shared" si="29"/>
        <v>0.49216710182767631</v>
      </c>
      <c r="Z134" s="5"/>
      <c r="AA134" s="5"/>
      <c r="AB134" s="5"/>
      <c r="AC134" s="5"/>
    </row>
    <row r="135" spans="1:29" x14ac:dyDescent="0.3">
      <c r="A135" s="2">
        <v>134</v>
      </c>
      <c r="B135" s="2" t="s">
        <v>4</v>
      </c>
      <c r="C135" s="2">
        <v>1384</v>
      </c>
      <c r="D135" s="10">
        <v>27</v>
      </c>
      <c r="E135" s="10">
        <v>16</v>
      </c>
      <c r="F135" s="9">
        <v>130</v>
      </c>
      <c r="G135" s="9">
        <v>34</v>
      </c>
      <c r="H135" s="7">
        <v>20</v>
      </c>
      <c r="I135" s="9">
        <v>16</v>
      </c>
      <c r="J135" s="7">
        <v>10</v>
      </c>
      <c r="K135" s="9">
        <v>39</v>
      </c>
      <c r="L135" s="9">
        <v>30</v>
      </c>
      <c r="N135" s="7">
        <v>15</v>
      </c>
      <c r="O135" s="8">
        <f t="shared" si="20"/>
        <v>150</v>
      </c>
      <c r="P135" s="1">
        <f t="shared" si="21"/>
        <v>960</v>
      </c>
      <c r="Q135" s="1">
        <f t="shared" si="22"/>
        <v>765</v>
      </c>
      <c r="R135" s="2">
        <f t="shared" si="23"/>
        <v>516</v>
      </c>
      <c r="S135" s="1">
        <f t="shared" si="24"/>
        <v>359.84000000000003</v>
      </c>
      <c r="T135" s="1">
        <f t="shared" si="25"/>
        <v>348.66</v>
      </c>
      <c r="U135" s="22">
        <f t="shared" si="26"/>
        <v>0.67450980392156867</v>
      </c>
      <c r="V135" s="22">
        <f t="shared" si="27"/>
        <v>0.96893063583815031</v>
      </c>
      <c r="W135" s="22">
        <f t="shared" si="28"/>
        <v>0.69736434108527134</v>
      </c>
      <c r="X135" s="1">
        <f t="shared" si="29"/>
        <v>0.45576470588235296</v>
      </c>
      <c r="Z135" s="5"/>
      <c r="AA135" s="5"/>
      <c r="AB135" s="5"/>
      <c r="AC135" s="5"/>
    </row>
    <row r="136" spans="1:29" x14ac:dyDescent="0.3">
      <c r="A136" s="2">
        <v>135</v>
      </c>
      <c r="B136" s="2" t="s">
        <v>3</v>
      </c>
      <c r="C136" s="2">
        <v>1358</v>
      </c>
      <c r="D136" s="10">
        <v>20</v>
      </c>
      <c r="E136" s="10">
        <v>9</v>
      </c>
      <c r="F136" s="9">
        <v>134</v>
      </c>
      <c r="G136" s="9">
        <v>49</v>
      </c>
      <c r="H136" s="7">
        <v>19</v>
      </c>
      <c r="I136" s="9">
        <v>19</v>
      </c>
      <c r="J136" s="7">
        <v>11</v>
      </c>
      <c r="K136" s="9">
        <v>23</v>
      </c>
      <c r="L136" s="9">
        <v>30</v>
      </c>
      <c r="N136" s="7">
        <v>16</v>
      </c>
      <c r="O136" s="8">
        <f t="shared" si="20"/>
        <v>150</v>
      </c>
      <c r="P136" s="1">
        <f t="shared" si="21"/>
        <v>960</v>
      </c>
      <c r="Q136" s="1">
        <f t="shared" si="22"/>
        <v>764</v>
      </c>
      <c r="R136" s="2">
        <f t="shared" si="23"/>
        <v>509</v>
      </c>
      <c r="S136" s="1">
        <f t="shared" si="24"/>
        <v>353.08</v>
      </c>
      <c r="T136" s="1">
        <f t="shared" si="25"/>
        <v>345.54</v>
      </c>
      <c r="U136" s="22">
        <f t="shared" si="26"/>
        <v>0.66623036649214662</v>
      </c>
      <c r="V136" s="22">
        <f t="shared" si="27"/>
        <v>0.97864506627393222</v>
      </c>
      <c r="W136" s="22">
        <f t="shared" si="28"/>
        <v>0.6936738703339882</v>
      </c>
      <c r="X136" s="1">
        <f t="shared" si="29"/>
        <v>0.45227748691099473</v>
      </c>
      <c r="Z136" s="5"/>
      <c r="AA136" s="5"/>
      <c r="AB136" s="5"/>
      <c r="AC136" s="5"/>
    </row>
    <row r="137" spans="1:29" x14ac:dyDescent="0.3">
      <c r="A137" s="2">
        <v>136</v>
      </c>
      <c r="B137" s="2" t="s">
        <v>2</v>
      </c>
      <c r="C137" s="2">
        <v>1303</v>
      </c>
      <c r="D137" s="10">
        <v>22</v>
      </c>
      <c r="E137" s="10">
        <v>27</v>
      </c>
      <c r="F137" s="9">
        <v>164</v>
      </c>
      <c r="G137" s="9">
        <v>33</v>
      </c>
      <c r="H137" s="7">
        <v>20</v>
      </c>
      <c r="I137" s="9">
        <v>17</v>
      </c>
      <c r="J137" s="7">
        <v>9</v>
      </c>
      <c r="K137" s="9">
        <v>20</v>
      </c>
      <c r="L137" s="9">
        <v>32</v>
      </c>
      <c r="N137" s="7">
        <v>16</v>
      </c>
      <c r="O137" s="8">
        <f t="shared" si="20"/>
        <v>150</v>
      </c>
      <c r="P137" s="1">
        <f t="shared" si="21"/>
        <v>960</v>
      </c>
      <c r="Q137" s="1">
        <f t="shared" si="22"/>
        <v>765</v>
      </c>
      <c r="R137" s="2">
        <f t="shared" si="23"/>
        <v>499</v>
      </c>
      <c r="S137" s="1">
        <f t="shared" si="24"/>
        <v>338.78000000000003</v>
      </c>
      <c r="T137" s="1">
        <f t="shared" si="25"/>
        <v>326.04000000000002</v>
      </c>
      <c r="U137" s="22">
        <f t="shared" si="26"/>
        <v>0.65228758169934642</v>
      </c>
      <c r="V137" s="22">
        <f t="shared" si="27"/>
        <v>0.96239447429009972</v>
      </c>
      <c r="W137" s="22">
        <f t="shared" si="28"/>
        <v>0.67891783567134278</v>
      </c>
      <c r="X137" s="1">
        <f t="shared" si="29"/>
        <v>0.42619607843137264</v>
      </c>
      <c r="Z137" s="5"/>
      <c r="AA137" s="5"/>
      <c r="AB137" s="5"/>
      <c r="AC137" s="5"/>
    </row>
    <row r="138" spans="1:29" x14ac:dyDescent="0.3">
      <c r="A138" s="2">
        <v>137</v>
      </c>
      <c r="B138" s="2" t="s">
        <v>4</v>
      </c>
      <c r="C138" s="2">
        <v>1307</v>
      </c>
      <c r="D138" s="10">
        <v>14</v>
      </c>
      <c r="E138" s="10">
        <v>31</v>
      </c>
      <c r="F138" s="9">
        <v>114</v>
      </c>
      <c r="G138" s="9">
        <v>44</v>
      </c>
      <c r="H138" s="7">
        <v>20</v>
      </c>
      <c r="I138" s="9">
        <v>14</v>
      </c>
      <c r="J138" s="7">
        <v>10</v>
      </c>
      <c r="K138" s="9">
        <v>30</v>
      </c>
      <c r="L138" s="9">
        <v>34</v>
      </c>
      <c r="N138" s="7">
        <v>19</v>
      </c>
      <c r="O138" s="8">
        <f t="shared" si="20"/>
        <v>150</v>
      </c>
      <c r="P138" s="1">
        <f t="shared" si="21"/>
        <v>960</v>
      </c>
      <c r="Q138" s="1">
        <f t="shared" si="22"/>
        <v>761</v>
      </c>
      <c r="R138" s="2">
        <f t="shared" si="23"/>
        <v>525</v>
      </c>
      <c r="S138" s="1">
        <f t="shared" si="24"/>
        <v>339.82</v>
      </c>
      <c r="T138" s="1">
        <f t="shared" si="25"/>
        <v>328.12</v>
      </c>
      <c r="U138" s="22">
        <f t="shared" si="26"/>
        <v>0.68988173455978974</v>
      </c>
      <c r="V138" s="22">
        <f t="shared" si="27"/>
        <v>0.96557000765110945</v>
      </c>
      <c r="W138" s="22">
        <f t="shared" si="28"/>
        <v>0.64727619047619045</v>
      </c>
      <c r="X138" s="1">
        <f t="shared" si="29"/>
        <v>0.43116951379763468</v>
      </c>
      <c r="Z138" s="5"/>
      <c r="AA138" s="5"/>
      <c r="AB138" s="5"/>
      <c r="AC138" s="5"/>
    </row>
    <row r="139" spans="1:29" x14ac:dyDescent="0.3">
      <c r="A139" s="2">
        <v>138</v>
      </c>
      <c r="B139" s="2" t="s">
        <v>3</v>
      </c>
      <c r="C139" s="2">
        <v>1241</v>
      </c>
      <c r="D139" s="10">
        <v>16</v>
      </c>
      <c r="E139" s="10">
        <v>46</v>
      </c>
      <c r="F139" s="9">
        <v>120</v>
      </c>
      <c r="G139" s="9">
        <v>39</v>
      </c>
      <c r="H139" s="7">
        <v>16</v>
      </c>
      <c r="I139" s="9">
        <v>19</v>
      </c>
      <c r="J139" s="7">
        <v>10</v>
      </c>
      <c r="K139" s="9">
        <v>25</v>
      </c>
      <c r="L139" s="9">
        <v>34</v>
      </c>
      <c r="N139" s="7">
        <v>20</v>
      </c>
      <c r="O139" s="8">
        <f t="shared" si="20"/>
        <v>150</v>
      </c>
      <c r="P139" s="1">
        <f t="shared" si="21"/>
        <v>960</v>
      </c>
      <c r="Q139" s="1">
        <f t="shared" si="22"/>
        <v>764</v>
      </c>
      <c r="R139" s="2">
        <f t="shared" si="23"/>
        <v>527</v>
      </c>
      <c r="S139" s="1">
        <f t="shared" si="24"/>
        <v>322.66000000000003</v>
      </c>
      <c r="T139" s="1">
        <f t="shared" si="25"/>
        <v>306.54000000000002</v>
      </c>
      <c r="U139" s="22">
        <f t="shared" si="26"/>
        <v>0.68979057591623039</v>
      </c>
      <c r="V139" s="22">
        <f t="shared" si="27"/>
        <v>0.95004029008863822</v>
      </c>
      <c r="W139" s="22">
        <f t="shared" si="28"/>
        <v>0.61225806451612907</v>
      </c>
      <c r="X139" s="1">
        <f t="shared" si="29"/>
        <v>0.40123036649214666</v>
      </c>
      <c r="Z139" s="5"/>
      <c r="AA139" s="5"/>
      <c r="AB139" s="5"/>
      <c r="AC139" s="5"/>
    </row>
    <row r="140" spans="1:29" x14ac:dyDescent="0.3">
      <c r="A140" s="2">
        <v>139</v>
      </c>
      <c r="B140" s="2" t="s">
        <v>2</v>
      </c>
      <c r="C140" s="2">
        <v>1183</v>
      </c>
      <c r="D140" s="10">
        <v>14</v>
      </c>
      <c r="E140" s="10">
        <v>20</v>
      </c>
      <c r="F140" s="9">
        <v>112</v>
      </c>
      <c r="G140" s="9">
        <v>48</v>
      </c>
      <c r="H140" s="7">
        <v>18</v>
      </c>
      <c r="I140" s="9">
        <v>22</v>
      </c>
      <c r="J140" s="7">
        <v>8</v>
      </c>
      <c r="K140" s="9">
        <v>20</v>
      </c>
      <c r="L140" s="9">
        <v>29</v>
      </c>
      <c r="N140" s="7">
        <v>12</v>
      </c>
      <c r="O140" s="8">
        <f t="shared" si="20"/>
        <v>150</v>
      </c>
      <c r="P140" s="1">
        <f t="shared" si="21"/>
        <v>960</v>
      </c>
      <c r="Q140" s="1">
        <f t="shared" si="22"/>
        <v>772</v>
      </c>
      <c r="R140" s="2">
        <f t="shared" si="23"/>
        <v>541</v>
      </c>
      <c r="S140" s="1">
        <f t="shared" si="24"/>
        <v>307.58</v>
      </c>
      <c r="T140" s="1">
        <f t="shared" si="25"/>
        <v>298.74</v>
      </c>
      <c r="U140" s="22">
        <f t="shared" si="26"/>
        <v>0.70077720207253891</v>
      </c>
      <c r="V140" s="22">
        <f t="shared" si="27"/>
        <v>0.97125950972104813</v>
      </c>
      <c r="W140" s="22">
        <f t="shared" si="28"/>
        <v>0.56853974121996298</v>
      </c>
      <c r="X140" s="1">
        <f t="shared" si="29"/>
        <v>0.38696891191709842</v>
      </c>
      <c r="Z140" s="5"/>
      <c r="AA140" s="5"/>
      <c r="AB140" s="5"/>
      <c r="AC140" s="5"/>
    </row>
    <row r="141" spans="1:29" x14ac:dyDescent="0.3">
      <c r="A141" s="2">
        <v>140</v>
      </c>
      <c r="B141" s="2" t="s">
        <v>3</v>
      </c>
      <c r="C141" s="2">
        <v>1324</v>
      </c>
      <c r="D141" s="10">
        <v>19</v>
      </c>
      <c r="E141" s="10">
        <v>36</v>
      </c>
      <c r="F141" s="9">
        <v>132</v>
      </c>
      <c r="G141" s="9">
        <v>54</v>
      </c>
      <c r="H141" s="7">
        <v>19</v>
      </c>
      <c r="I141" s="9">
        <v>19</v>
      </c>
      <c r="J141" s="7">
        <v>8</v>
      </c>
      <c r="K141" s="9">
        <v>35</v>
      </c>
      <c r="L141" s="9">
        <v>28</v>
      </c>
      <c r="M141" s="7">
        <v>45</v>
      </c>
      <c r="N141" s="7">
        <v>17</v>
      </c>
      <c r="O141" s="8">
        <f t="shared" si="20"/>
        <v>150</v>
      </c>
      <c r="P141" s="1">
        <f t="shared" si="21"/>
        <v>960</v>
      </c>
      <c r="Q141" s="1">
        <f t="shared" si="22"/>
        <v>721</v>
      </c>
      <c r="R141" s="2">
        <f t="shared" si="23"/>
        <v>453</v>
      </c>
      <c r="S141" s="1">
        <f t="shared" si="24"/>
        <v>344.24</v>
      </c>
      <c r="T141" s="1">
        <f t="shared" si="25"/>
        <v>329.94</v>
      </c>
      <c r="U141" s="22">
        <f t="shared" si="26"/>
        <v>0.62829403606102641</v>
      </c>
      <c r="V141" s="22">
        <f t="shared" si="27"/>
        <v>0.95845921450151061</v>
      </c>
      <c r="W141" s="22">
        <f t="shared" si="28"/>
        <v>0.75991169977924944</v>
      </c>
      <c r="X141" s="1">
        <f t="shared" si="29"/>
        <v>0.45761442441054095</v>
      </c>
      <c r="Z141" s="5"/>
      <c r="AA141" s="5"/>
      <c r="AB141" s="5"/>
      <c r="AC141" s="5"/>
    </row>
    <row r="142" spans="1:29" x14ac:dyDescent="0.3">
      <c r="A142" s="2">
        <v>141</v>
      </c>
      <c r="B142" s="2" t="s">
        <v>3</v>
      </c>
      <c r="C142" s="2">
        <v>1318</v>
      </c>
      <c r="D142" s="10">
        <v>23</v>
      </c>
      <c r="E142" s="10">
        <v>21</v>
      </c>
      <c r="F142" s="9">
        <v>128</v>
      </c>
      <c r="G142" s="9">
        <v>34</v>
      </c>
      <c r="H142" s="7">
        <v>15</v>
      </c>
      <c r="I142" s="9">
        <v>16</v>
      </c>
      <c r="J142" s="7">
        <v>13</v>
      </c>
      <c r="L142" s="9">
        <v>37</v>
      </c>
      <c r="N142" s="7">
        <v>14</v>
      </c>
      <c r="O142" s="8">
        <f t="shared" si="20"/>
        <v>150</v>
      </c>
      <c r="P142" s="1">
        <f t="shared" si="21"/>
        <v>960</v>
      </c>
      <c r="Q142" s="1">
        <f t="shared" si="22"/>
        <v>768</v>
      </c>
      <c r="R142" s="2">
        <f t="shared" si="23"/>
        <v>553</v>
      </c>
      <c r="S142" s="1">
        <f t="shared" si="24"/>
        <v>342.68</v>
      </c>
      <c r="T142" s="1">
        <f t="shared" si="25"/>
        <v>331.24</v>
      </c>
      <c r="U142" s="22">
        <f t="shared" si="26"/>
        <v>0.72005208333333337</v>
      </c>
      <c r="V142" s="22">
        <f t="shared" si="27"/>
        <v>0.96661608497723828</v>
      </c>
      <c r="W142" s="22">
        <f t="shared" si="28"/>
        <v>0.61967450271247737</v>
      </c>
      <c r="X142" s="1">
        <f t="shared" si="29"/>
        <v>0.43130208333333331</v>
      </c>
      <c r="Z142" s="5"/>
      <c r="AA142" s="5"/>
      <c r="AB142" s="5"/>
      <c r="AC142" s="5"/>
    </row>
    <row r="143" spans="1:29" x14ac:dyDescent="0.3">
      <c r="A143" s="2">
        <v>142</v>
      </c>
      <c r="B143" s="2" t="s">
        <v>5</v>
      </c>
      <c r="C143" s="2">
        <v>1339</v>
      </c>
      <c r="D143" s="10">
        <v>24</v>
      </c>
      <c r="E143" s="10">
        <v>21</v>
      </c>
      <c r="F143" s="9">
        <v>119</v>
      </c>
      <c r="G143" s="9">
        <v>45</v>
      </c>
      <c r="H143" s="7">
        <v>20</v>
      </c>
      <c r="I143" s="9">
        <v>20</v>
      </c>
      <c r="J143" s="7">
        <v>9</v>
      </c>
      <c r="K143" s="9">
        <v>16</v>
      </c>
      <c r="L143" s="9">
        <v>25</v>
      </c>
      <c r="N143" s="7">
        <v>18</v>
      </c>
      <c r="O143" s="8">
        <f t="shared" si="20"/>
        <v>150</v>
      </c>
      <c r="P143" s="1">
        <f t="shared" si="21"/>
        <v>960</v>
      </c>
      <c r="Q143" s="1">
        <f t="shared" si="22"/>
        <v>763</v>
      </c>
      <c r="R143" s="2">
        <f t="shared" si="23"/>
        <v>538</v>
      </c>
      <c r="S143" s="1">
        <f t="shared" si="24"/>
        <v>348.14</v>
      </c>
      <c r="T143" s="1">
        <f t="shared" si="25"/>
        <v>336.44</v>
      </c>
      <c r="U143" s="22">
        <f t="shared" si="26"/>
        <v>0.70511140235910874</v>
      </c>
      <c r="V143" s="22">
        <f t="shared" si="27"/>
        <v>0.9663928304705004</v>
      </c>
      <c r="W143" s="22">
        <f t="shared" si="28"/>
        <v>0.64710037174721191</v>
      </c>
      <c r="X143" s="1">
        <f t="shared" si="29"/>
        <v>0.4409436435124508</v>
      </c>
      <c r="Z143" s="5"/>
      <c r="AA143" s="5"/>
      <c r="AB143" s="5"/>
      <c r="AC143" s="5"/>
    </row>
    <row r="144" spans="1:29" x14ac:dyDescent="0.3">
      <c r="A144" s="2">
        <v>143</v>
      </c>
      <c r="B144" s="2" t="s">
        <v>2</v>
      </c>
      <c r="C144" s="2">
        <v>1399</v>
      </c>
      <c r="D144" s="10">
        <v>21</v>
      </c>
      <c r="E144" s="10">
        <v>24</v>
      </c>
      <c r="F144" s="9">
        <v>142</v>
      </c>
      <c r="G144" s="9">
        <v>52</v>
      </c>
      <c r="H144" s="7">
        <v>16</v>
      </c>
      <c r="I144" s="9">
        <v>21</v>
      </c>
      <c r="J144" s="7">
        <v>7</v>
      </c>
      <c r="K144" s="9">
        <v>39</v>
      </c>
      <c r="L144" s="9">
        <v>31</v>
      </c>
      <c r="N144" s="7">
        <v>13</v>
      </c>
      <c r="O144" s="8">
        <f t="shared" si="20"/>
        <v>150</v>
      </c>
      <c r="P144" s="1">
        <f t="shared" si="21"/>
        <v>960</v>
      </c>
      <c r="Q144" s="1">
        <f t="shared" si="22"/>
        <v>774</v>
      </c>
      <c r="R144" s="2">
        <f t="shared" si="23"/>
        <v>489</v>
      </c>
      <c r="S144" s="1">
        <f t="shared" si="24"/>
        <v>363.74</v>
      </c>
      <c r="T144" s="1">
        <f t="shared" si="25"/>
        <v>352.04</v>
      </c>
      <c r="U144" s="22">
        <f t="shared" si="26"/>
        <v>0.63178294573643412</v>
      </c>
      <c r="V144" s="22">
        <f t="shared" si="27"/>
        <v>0.96783416726233018</v>
      </c>
      <c r="W144" s="22">
        <f t="shared" si="28"/>
        <v>0.74384458077709614</v>
      </c>
      <c r="X144" s="1">
        <f t="shared" si="29"/>
        <v>0.45483204134366922</v>
      </c>
      <c r="Z144" s="5"/>
      <c r="AA144" s="5"/>
      <c r="AB144" s="5"/>
      <c r="AC144" s="5"/>
    </row>
    <row r="145" spans="1:29" x14ac:dyDescent="0.3">
      <c r="A145" s="2">
        <v>144</v>
      </c>
      <c r="B145" s="2" t="s">
        <v>4</v>
      </c>
      <c r="C145" s="2">
        <v>1390</v>
      </c>
      <c r="D145" s="10">
        <v>13</v>
      </c>
      <c r="E145" s="10">
        <v>24</v>
      </c>
      <c r="F145" s="9">
        <v>147</v>
      </c>
      <c r="G145" s="9">
        <v>37</v>
      </c>
      <c r="H145" s="7">
        <v>17</v>
      </c>
      <c r="I145" s="9">
        <v>15</v>
      </c>
      <c r="J145" s="7">
        <v>6</v>
      </c>
      <c r="K145" s="9">
        <v>22</v>
      </c>
      <c r="L145" s="9">
        <v>36</v>
      </c>
      <c r="N145" s="7">
        <v>17</v>
      </c>
      <c r="O145" s="8">
        <f t="shared" si="20"/>
        <v>150</v>
      </c>
      <c r="P145" s="1">
        <f t="shared" si="21"/>
        <v>960</v>
      </c>
      <c r="Q145" s="1">
        <f t="shared" si="22"/>
        <v>770</v>
      </c>
      <c r="R145" s="2">
        <f t="shared" si="23"/>
        <v>513</v>
      </c>
      <c r="S145" s="1">
        <f t="shared" si="24"/>
        <v>361.40000000000003</v>
      </c>
      <c r="T145" s="1">
        <f t="shared" si="25"/>
        <v>351.78000000000003</v>
      </c>
      <c r="U145" s="22">
        <f t="shared" si="26"/>
        <v>0.66623376623376629</v>
      </c>
      <c r="V145" s="22">
        <f t="shared" si="27"/>
        <v>0.97338129496402881</v>
      </c>
      <c r="W145" s="22">
        <f t="shared" si="28"/>
        <v>0.70448343079922038</v>
      </c>
      <c r="X145" s="1">
        <f t="shared" si="29"/>
        <v>0.45685714285714296</v>
      </c>
      <c r="Z145" s="5"/>
      <c r="AA145" s="5"/>
      <c r="AB145" s="5"/>
      <c r="AC145" s="5"/>
    </row>
    <row r="146" spans="1:29" x14ac:dyDescent="0.3">
      <c r="A146" s="2">
        <v>145</v>
      </c>
      <c r="B146" s="2" t="s">
        <v>3</v>
      </c>
      <c r="C146" s="2">
        <v>1366</v>
      </c>
      <c r="D146" s="10">
        <v>20</v>
      </c>
      <c r="E146" s="10">
        <v>41</v>
      </c>
      <c r="F146" s="9">
        <v>168</v>
      </c>
      <c r="G146" s="9">
        <v>33</v>
      </c>
      <c r="H146" s="7">
        <v>20</v>
      </c>
      <c r="I146" s="9">
        <v>23</v>
      </c>
      <c r="J146" s="7">
        <v>8</v>
      </c>
      <c r="K146" s="9">
        <v>25</v>
      </c>
      <c r="L146" s="9">
        <v>36</v>
      </c>
      <c r="N146" s="7">
        <v>18</v>
      </c>
      <c r="O146" s="8">
        <f t="shared" si="20"/>
        <v>150</v>
      </c>
      <c r="P146" s="1">
        <f t="shared" si="21"/>
        <v>960</v>
      </c>
      <c r="Q146" s="1">
        <f t="shared" si="22"/>
        <v>764</v>
      </c>
      <c r="R146" s="2">
        <f t="shared" si="23"/>
        <v>479</v>
      </c>
      <c r="S146" s="1">
        <f t="shared" si="24"/>
        <v>355.16</v>
      </c>
      <c r="T146" s="1">
        <f t="shared" si="25"/>
        <v>339.3</v>
      </c>
      <c r="U146" s="22">
        <f t="shared" si="26"/>
        <v>0.62696335078534027</v>
      </c>
      <c r="V146" s="22">
        <f t="shared" si="27"/>
        <v>0.95534407027818447</v>
      </c>
      <c r="W146" s="22">
        <f t="shared" si="28"/>
        <v>0.74146137787056376</v>
      </c>
      <c r="X146" s="1">
        <f t="shared" si="29"/>
        <v>0.4441099476439791</v>
      </c>
      <c r="Z146" s="5"/>
      <c r="AA146" s="5"/>
      <c r="AB146" s="5"/>
      <c r="AC146" s="5"/>
    </row>
    <row r="147" spans="1:29" x14ac:dyDescent="0.3">
      <c r="A147" s="2">
        <v>146</v>
      </c>
      <c r="B147" s="2" t="s">
        <v>5</v>
      </c>
      <c r="C147" s="2">
        <v>1318</v>
      </c>
      <c r="D147" s="10">
        <v>24</v>
      </c>
      <c r="E147" s="10">
        <v>48</v>
      </c>
      <c r="F147" s="9">
        <v>127</v>
      </c>
      <c r="G147" s="9">
        <v>43</v>
      </c>
      <c r="H147" s="7">
        <v>19</v>
      </c>
      <c r="I147" s="9">
        <v>15</v>
      </c>
      <c r="J147" s="7">
        <v>8</v>
      </c>
      <c r="K147" s="9">
        <v>38</v>
      </c>
      <c r="L147" s="9">
        <v>36</v>
      </c>
      <c r="N147" s="7">
        <v>16</v>
      </c>
      <c r="O147" s="8">
        <f t="shared" si="20"/>
        <v>150</v>
      </c>
      <c r="P147" s="1">
        <f t="shared" si="21"/>
        <v>960</v>
      </c>
      <c r="Q147" s="1">
        <f t="shared" si="22"/>
        <v>767</v>
      </c>
      <c r="R147" s="2">
        <f t="shared" si="23"/>
        <v>508</v>
      </c>
      <c r="S147" s="1">
        <f t="shared" si="24"/>
        <v>342.68</v>
      </c>
      <c r="T147" s="1">
        <f t="shared" si="25"/>
        <v>323.96000000000004</v>
      </c>
      <c r="U147" s="22">
        <f t="shared" si="26"/>
        <v>0.66232073011734027</v>
      </c>
      <c r="V147" s="22">
        <f t="shared" si="27"/>
        <v>0.94537177541729889</v>
      </c>
      <c r="W147" s="22">
        <f t="shared" si="28"/>
        <v>0.6745669291338583</v>
      </c>
      <c r="X147" s="1">
        <f t="shared" si="29"/>
        <v>0.42237288135593215</v>
      </c>
      <c r="Z147" s="5"/>
      <c r="AA147" s="5"/>
      <c r="AB147" s="5"/>
      <c r="AC147" s="5"/>
    </row>
    <row r="148" spans="1:29" x14ac:dyDescent="0.3">
      <c r="A148" s="2">
        <v>147</v>
      </c>
      <c r="B148" s="2" t="s">
        <v>3</v>
      </c>
      <c r="C148" s="2">
        <v>1342</v>
      </c>
      <c r="D148" s="10">
        <v>17</v>
      </c>
      <c r="E148" s="10">
        <v>38</v>
      </c>
      <c r="F148" s="9">
        <v>144</v>
      </c>
      <c r="G148" s="9">
        <v>39</v>
      </c>
      <c r="H148" s="7">
        <v>16</v>
      </c>
      <c r="I148" s="9">
        <v>23</v>
      </c>
      <c r="J148" s="7">
        <v>9</v>
      </c>
      <c r="K148" s="9">
        <v>37</v>
      </c>
      <c r="L148" s="9">
        <v>25</v>
      </c>
      <c r="N148" s="7">
        <v>16</v>
      </c>
      <c r="O148" s="8">
        <f t="shared" si="20"/>
        <v>150</v>
      </c>
      <c r="P148" s="1">
        <f t="shared" si="21"/>
        <v>960</v>
      </c>
      <c r="Q148" s="1">
        <f t="shared" si="22"/>
        <v>769</v>
      </c>
      <c r="R148" s="2">
        <f t="shared" si="23"/>
        <v>501</v>
      </c>
      <c r="S148" s="1">
        <f t="shared" si="24"/>
        <v>348.92</v>
      </c>
      <c r="T148" s="1">
        <f t="shared" si="25"/>
        <v>334.62</v>
      </c>
      <c r="U148" s="22">
        <f t="shared" si="26"/>
        <v>0.65149544863459041</v>
      </c>
      <c r="V148" s="22">
        <f t="shared" si="27"/>
        <v>0.95901639344262291</v>
      </c>
      <c r="W148" s="22">
        <f t="shared" si="28"/>
        <v>0.69644710578842317</v>
      </c>
      <c r="X148" s="1">
        <f t="shared" si="29"/>
        <v>0.43513654096228865</v>
      </c>
      <c r="Z148" s="5"/>
      <c r="AA148" s="5"/>
      <c r="AB148" s="5"/>
      <c r="AC148" s="5"/>
    </row>
    <row r="149" spans="1:29" x14ac:dyDescent="0.3">
      <c r="A149" s="2">
        <v>148</v>
      </c>
      <c r="B149" s="2" t="s">
        <v>5</v>
      </c>
      <c r="C149" s="2">
        <v>1260</v>
      </c>
      <c r="D149" s="10">
        <v>12</v>
      </c>
      <c r="E149" s="10">
        <v>27</v>
      </c>
      <c r="F149" s="9">
        <v>133</v>
      </c>
      <c r="G149" s="9">
        <v>36</v>
      </c>
      <c r="H149" s="7">
        <v>15</v>
      </c>
      <c r="I149" s="9">
        <v>19</v>
      </c>
      <c r="J149" s="7">
        <v>7</v>
      </c>
      <c r="K149" s="9">
        <v>20</v>
      </c>
      <c r="L149" s="9">
        <v>30</v>
      </c>
      <c r="N149" s="7">
        <v>17</v>
      </c>
      <c r="O149" s="8">
        <f t="shared" si="20"/>
        <v>150</v>
      </c>
      <c r="P149" s="1">
        <f t="shared" si="21"/>
        <v>960</v>
      </c>
      <c r="Q149" s="1">
        <f t="shared" si="22"/>
        <v>771</v>
      </c>
      <c r="R149" s="2">
        <f t="shared" si="23"/>
        <v>533</v>
      </c>
      <c r="S149" s="1">
        <f t="shared" si="24"/>
        <v>327.60000000000002</v>
      </c>
      <c r="T149" s="1">
        <f t="shared" si="25"/>
        <v>317.46000000000004</v>
      </c>
      <c r="U149" s="22">
        <f t="shared" si="26"/>
        <v>0.69130998702983137</v>
      </c>
      <c r="V149" s="22">
        <f t="shared" si="27"/>
        <v>0.96904761904761905</v>
      </c>
      <c r="W149" s="22">
        <f t="shared" si="28"/>
        <v>0.61463414634146341</v>
      </c>
      <c r="X149" s="1">
        <f t="shared" si="29"/>
        <v>0.41175097276264588</v>
      </c>
      <c r="Z149" s="5"/>
      <c r="AA149" s="5"/>
      <c r="AB149" s="5"/>
      <c r="AC149" s="5"/>
    </row>
    <row r="150" spans="1:29" x14ac:dyDescent="0.3">
      <c r="A150" s="2">
        <v>149</v>
      </c>
      <c r="B150" s="2" t="s">
        <v>2</v>
      </c>
      <c r="C150" s="2">
        <v>1283</v>
      </c>
      <c r="D150" s="10">
        <v>15</v>
      </c>
      <c r="E150" s="10">
        <v>50</v>
      </c>
      <c r="F150" s="9">
        <v>135</v>
      </c>
      <c r="G150" s="9">
        <v>42</v>
      </c>
      <c r="H150" s="7">
        <v>19</v>
      </c>
      <c r="I150" s="9">
        <v>18</v>
      </c>
      <c r="J150" s="7">
        <v>9</v>
      </c>
      <c r="K150" s="9">
        <v>28</v>
      </c>
      <c r="L150" s="9">
        <v>28</v>
      </c>
      <c r="N150" s="7">
        <v>14</v>
      </c>
      <c r="O150" s="8">
        <f t="shared" si="20"/>
        <v>150</v>
      </c>
      <c r="P150" s="1">
        <f t="shared" si="21"/>
        <v>960</v>
      </c>
      <c r="Q150" s="1">
        <f t="shared" si="22"/>
        <v>768</v>
      </c>
      <c r="R150" s="2">
        <f t="shared" si="23"/>
        <v>517</v>
      </c>
      <c r="S150" s="1">
        <f t="shared" si="24"/>
        <v>333.58</v>
      </c>
      <c r="T150" s="1">
        <f t="shared" si="25"/>
        <v>316.68</v>
      </c>
      <c r="U150" s="22">
        <f t="shared" si="26"/>
        <v>0.67317708333333337</v>
      </c>
      <c r="V150" s="22">
        <f t="shared" si="27"/>
        <v>0.9493374902572097</v>
      </c>
      <c r="W150" s="22">
        <f t="shared" si="28"/>
        <v>0.64522243713733074</v>
      </c>
      <c r="X150" s="1">
        <f t="shared" si="29"/>
        <v>0.41234375000000006</v>
      </c>
      <c r="Z150" s="5"/>
      <c r="AA150" s="5"/>
      <c r="AB150" s="5"/>
      <c r="AC150" s="5"/>
    </row>
    <row r="151" spans="1:29" x14ac:dyDescent="0.3">
      <c r="A151" s="2">
        <v>150</v>
      </c>
      <c r="B151" s="2" t="s">
        <v>4</v>
      </c>
      <c r="C151" s="2">
        <v>1290</v>
      </c>
      <c r="D151" s="10">
        <v>13</v>
      </c>
      <c r="E151" s="10">
        <v>25</v>
      </c>
      <c r="F151" s="9">
        <v>121</v>
      </c>
      <c r="G151" s="9">
        <v>51</v>
      </c>
      <c r="H151" s="7">
        <v>17</v>
      </c>
      <c r="I151" s="9">
        <v>14</v>
      </c>
      <c r="J151" s="7">
        <v>9</v>
      </c>
      <c r="K151" s="9">
        <v>37</v>
      </c>
      <c r="L151" s="9">
        <v>26</v>
      </c>
      <c r="M151" s="7">
        <v>55</v>
      </c>
      <c r="N151" s="7">
        <v>16</v>
      </c>
      <c r="O151" s="8">
        <f t="shared" si="20"/>
        <v>150</v>
      </c>
      <c r="P151" s="1">
        <f t="shared" si="21"/>
        <v>960</v>
      </c>
      <c r="Q151" s="1">
        <f t="shared" si="22"/>
        <v>713</v>
      </c>
      <c r="R151" s="2">
        <f t="shared" si="23"/>
        <v>464</v>
      </c>
      <c r="S151" s="1">
        <f t="shared" si="24"/>
        <v>335.40000000000003</v>
      </c>
      <c r="T151" s="1">
        <f t="shared" si="25"/>
        <v>325.52000000000004</v>
      </c>
      <c r="U151" s="22">
        <f t="shared" si="26"/>
        <v>0.65077138849929872</v>
      </c>
      <c r="V151" s="22">
        <f t="shared" si="27"/>
        <v>0.97054263565891474</v>
      </c>
      <c r="W151" s="22">
        <f t="shared" si="28"/>
        <v>0.72284482758620694</v>
      </c>
      <c r="X151" s="1">
        <f t="shared" si="29"/>
        <v>0.45654978962131837</v>
      </c>
      <c r="Z151" s="5"/>
      <c r="AA151" s="5"/>
      <c r="AB151" s="5"/>
      <c r="AC151" s="5"/>
    </row>
    <row r="152" spans="1:29" x14ac:dyDescent="0.3">
      <c r="A152" s="2">
        <v>151</v>
      </c>
      <c r="B152" s="2" t="s">
        <v>4</v>
      </c>
      <c r="C152" s="2">
        <v>1325</v>
      </c>
      <c r="D152" s="10">
        <v>19</v>
      </c>
      <c r="E152" s="10">
        <v>41</v>
      </c>
      <c r="F152" s="9">
        <v>148</v>
      </c>
      <c r="G152" s="9">
        <v>47</v>
      </c>
      <c r="H152" s="7">
        <v>20</v>
      </c>
      <c r="I152" s="9">
        <v>18</v>
      </c>
      <c r="J152" s="7">
        <v>7</v>
      </c>
      <c r="L152" s="9">
        <v>26</v>
      </c>
      <c r="N152" s="7">
        <v>15</v>
      </c>
      <c r="O152" s="8">
        <f t="shared" si="20"/>
        <v>150</v>
      </c>
      <c r="P152" s="1">
        <f t="shared" si="21"/>
        <v>960</v>
      </c>
      <c r="Q152" s="1">
        <f t="shared" si="22"/>
        <v>768</v>
      </c>
      <c r="R152" s="2">
        <f t="shared" si="23"/>
        <v>529</v>
      </c>
      <c r="S152" s="1">
        <f t="shared" si="24"/>
        <v>344.5</v>
      </c>
      <c r="T152" s="1">
        <f t="shared" si="25"/>
        <v>328.90000000000003</v>
      </c>
      <c r="U152" s="22">
        <f t="shared" si="26"/>
        <v>0.68880208333333337</v>
      </c>
      <c r="V152" s="22">
        <f t="shared" si="27"/>
        <v>0.95471698113207548</v>
      </c>
      <c r="W152" s="22">
        <f t="shared" si="28"/>
        <v>0.65122873345935728</v>
      </c>
      <c r="X152" s="1">
        <f t="shared" si="29"/>
        <v>0.42825520833333336</v>
      </c>
      <c r="Z152" s="5"/>
      <c r="AA152" s="5"/>
      <c r="AB152" s="5"/>
      <c r="AC152" s="5"/>
    </row>
    <row r="153" spans="1:29" x14ac:dyDescent="0.3">
      <c r="A153" s="2">
        <v>152</v>
      </c>
      <c r="B153" s="2" t="s">
        <v>3</v>
      </c>
      <c r="C153" s="2">
        <v>1270</v>
      </c>
      <c r="D153" s="10">
        <v>19</v>
      </c>
      <c r="E153" s="10">
        <v>44</v>
      </c>
      <c r="F153" s="9">
        <v>155</v>
      </c>
      <c r="G153" s="9">
        <v>42</v>
      </c>
      <c r="H153" s="7">
        <v>15</v>
      </c>
      <c r="I153" s="9">
        <v>15</v>
      </c>
      <c r="J153" s="7">
        <v>12</v>
      </c>
      <c r="K153" s="9">
        <v>15</v>
      </c>
      <c r="L153" s="9">
        <v>28</v>
      </c>
      <c r="N153" s="7">
        <v>14</v>
      </c>
      <c r="O153" s="8">
        <f t="shared" si="20"/>
        <v>150</v>
      </c>
      <c r="P153" s="1">
        <f t="shared" si="21"/>
        <v>960</v>
      </c>
      <c r="Q153" s="1">
        <f t="shared" si="22"/>
        <v>769</v>
      </c>
      <c r="R153" s="2">
        <f t="shared" si="23"/>
        <v>514</v>
      </c>
      <c r="S153" s="1">
        <f t="shared" si="24"/>
        <v>330.2</v>
      </c>
      <c r="T153" s="1">
        <f t="shared" si="25"/>
        <v>313.82</v>
      </c>
      <c r="U153" s="22">
        <f t="shared" si="26"/>
        <v>0.66840052015604678</v>
      </c>
      <c r="V153" s="22">
        <f t="shared" si="27"/>
        <v>0.9503937007874016</v>
      </c>
      <c r="W153" s="22">
        <f t="shared" si="28"/>
        <v>0.64241245136186764</v>
      </c>
      <c r="X153" s="1">
        <f t="shared" si="29"/>
        <v>0.40808842652795835</v>
      </c>
      <c r="Z153" s="5"/>
      <c r="AA153" s="5"/>
      <c r="AB153" s="5"/>
      <c r="AC153" s="5"/>
    </row>
    <row r="154" spans="1:29" x14ac:dyDescent="0.3">
      <c r="A154" s="2">
        <v>153</v>
      </c>
      <c r="B154" s="2" t="s">
        <v>2</v>
      </c>
      <c r="C154" s="2">
        <v>1287</v>
      </c>
      <c r="D154" s="10">
        <v>11</v>
      </c>
      <c r="E154" s="10">
        <v>33</v>
      </c>
      <c r="F154" s="9">
        <v>160</v>
      </c>
      <c r="G154" s="9">
        <v>41</v>
      </c>
      <c r="H154" s="7">
        <v>19</v>
      </c>
      <c r="I154" s="9">
        <v>15</v>
      </c>
      <c r="J154" s="7">
        <v>12</v>
      </c>
      <c r="K154" s="9">
        <v>15</v>
      </c>
      <c r="L154" s="9">
        <v>32</v>
      </c>
      <c r="N154" s="7">
        <v>19</v>
      </c>
      <c r="O154" s="8">
        <f t="shared" si="20"/>
        <v>150</v>
      </c>
      <c r="P154" s="1">
        <f t="shared" si="21"/>
        <v>960</v>
      </c>
      <c r="Q154" s="1">
        <f t="shared" si="22"/>
        <v>760</v>
      </c>
      <c r="R154" s="2">
        <f t="shared" si="23"/>
        <v>497</v>
      </c>
      <c r="S154" s="1">
        <f t="shared" si="24"/>
        <v>334.62</v>
      </c>
      <c r="T154" s="1">
        <f t="shared" si="25"/>
        <v>323.18</v>
      </c>
      <c r="U154" s="22">
        <f t="shared" si="26"/>
        <v>0.65394736842105261</v>
      </c>
      <c r="V154" s="22">
        <f t="shared" si="27"/>
        <v>0.96581196581196582</v>
      </c>
      <c r="W154" s="22">
        <f t="shared" si="28"/>
        <v>0.67327967806841049</v>
      </c>
      <c r="X154" s="1">
        <f t="shared" si="29"/>
        <v>0.42523684210526319</v>
      </c>
      <c r="Z154" s="5"/>
      <c r="AA154" s="5"/>
      <c r="AB154" s="5"/>
      <c r="AC154" s="5"/>
    </row>
    <row r="155" spans="1:29" x14ac:dyDescent="0.3">
      <c r="A155" s="2">
        <v>154</v>
      </c>
      <c r="B155" s="2" t="s">
        <v>4</v>
      </c>
      <c r="C155" s="2">
        <v>1387</v>
      </c>
      <c r="D155" s="10">
        <v>26</v>
      </c>
      <c r="E155" s="10">
        <v>15</v>
      </c>
      <c r="F155" s="9">
        <v>159</v>
      </c>
      <c r="G155" s="9">
        <v>38</v>
      </c>
      <c r="H155" s="7">
        <v>18</v>
      </c>
      <c r="I155" s="9">
        <v>21</v>
      </c>
      <c r="J155" s="7">
        <v>10</v>
      </c>
      <c r="K155" s="9">
        <v>40</v>
      </c>
      <c r="L155" s="9">
        <v>36</v>
      </c>
      <c r="N155" s="7">
        <v>15</v>
      </c>
      <c r="O155" s="8">
        <f t="shared" si="20"/>
        <v>150</v>
      </c>
      <c r="P155" s="1">
        <f t="shared" si="21"/>
        <v>960</v>
      </c>
      <c r="Q155" s="1">
        <f t="shared" si="22"/>
        <v>767</v>
      </c>
      <c r="R155" s="2">
        <f t="shared" si="23"/>
        <v>473</v>
      </c>
      <c r="S155" s="1">
        <f t="shared" si="24"/>
        <v>360.62</v>
      </c>
      <c r="T155" s="1">
        <f t="shared" si="25"/>
        <v>349.96000000000004</v>
      </c>
      <c r="U155" s="22">
        <f t="shared" si="26"/>
        <v>0.6166883963494133</v>
      </c>
      <c r="V155" s="22">
        <f t="shared" si="27"/>
        <v>0.97043979812545056</v>
      </c>
      <c r="W155" s="22">
        <f t="shared" si="28"/>
        <v>0.76241014799154339</v>
      </c>
      <c r="X155" s="1">
        <f t="shared" si="29"/>
        <v>0.45627118644067799</v>
      </c>
      <c r="Z155" s="5"/>
      <c r="AA155" s="5"/>
      <c r="AB155" s="5"/>
      <c r="AC155" s="5"/>
    </row>
    <row r="156" spans="1:29" x14ac:dyDescent="0.3">
      <c r="A156" s="2">
        <v>155</v>
      </c>
      <c r="B156" s="2" t="s">
        <v>3</v>
      </c>
      <c r="C156" s="2">
        <v>1222</v>
      </c>
      <c r="D156" s="10">
        <v>15</v>
      </c>
      <c r="E156" s="10">
        <v>50</v>
      </c>
      <c r="F156" s="9">
        <v>141</v>
      </c>
      <c r="G156" s="9">
        <v>44</v>
      </c>
      <c r="H156" s="7">
        <v>17</v>
      </c>
      <c r="I156" s="9">
        <v>16</v>
      </c>
      <c r="J156" s="7">
        <v>10</v>
      </c>
      <c r="K156" s="9">
        <v>22</v>
      </c>
      <c r="L156" s="9">
        <v>31</v>
      </c>
      <c r="N156" s="7">
        <v>20</v>
      </c>
      <c r="O156" s="8">
        <f t="shared" si="20"/>
        <v>150</v>
      </c>
      <c r="P156" s="1">
        <f t="shared" si="21"/>
        <v>960</v>
      </c>
      <c r="Q156" s="1">
        <f t="shared" si="22"/>
        <v>763</v>
      </c>
      <c r="R156" s="2">
        <f t="shared" si="23"/>
        <v>509</v>
      </c>
      <c r="S156" s="1">
        <f t="shared" si="24"/>
        <v>317.72000000000003</v>
      </c>
      <c r="T156" s="1">
        <f t="shared" si="25"/>
        <v>300.82</v>
      </c>
      <c r="U156" s="22">
        <f t="shared" si="26"/>
        <v>0.66710353866317174</v>
      </c>
      <c r="V156" s="22">
        <f t="shared" si="27"/>
        <v>0.94680851063829785</v>
      </c>
      <c r="W156" s="22">
        <f t="shared" si="28"/>
        <v>0.62420432220039301</v>
      </c>
      <c r="X156" s="1">
        <f t="shared" si="29"/>
        <v>0.39425950196592402</v>
      </c>
      <c r="Z156" s="5"/>
      <c r="AA156" s="5"/>
      <c r="AB156" s="5"/>
      <c r="AC156" s="5"/>
    </row>
    <row r="157" spans="1:29" x14ac:dyDescent="0.3">
      <c r="A157" s="2">
        <v>156</v>
      </c>
      <c r="B157" s="2" t="s">
        <v>5</v>
      </c>
      <c r="C157" s="2">
        <v>1218</v>
      </c>
      <c r="D157" s="10">
        <v>29</v>
      </c>
      <c r="E157" s="10">
        <v>18</v>
      </c>
      <c r="F157" s="9">
        <v>154</v>
      </c>
      <c r="G157" s="9">
        <v>51</v>
      </c>
      <c r="H157" s="7">
        <v>20</v>
      </c>
      <c r="I157" s="9">
        <v>19</v>
      </c>
      <c r="J157" s="7">
        <v>9</v>
      </c>
      <c r="K157" s="9">
        <v>26</v>
      </c>
      <c r="L157" s="9">
        <v>27</v>
      </c>
      <c r="N157" s="7">
        <v>16</v>
      </c>
      <c r="O157" s="8">
        <f t="shared" si="20"/>
        <v>150</v>
      </c>
      <c r="P157" s="1">
        <f t="shared" si="21"/>
        <v>960</v>
      </c>
      <c r="Q157" s="1">
        <f t="shared" si="22"/>
        <v>765</v>
      </c>
      <c r="R157" s="2">
        <f t="shared" si="23"/>
        <v>488</v>
      </c>
      <c r="S157" s="1">
        <f t="shared" si="24"/>
        <v>316.68</v>
      </c>
      <c r="T157" s="1">
        <f t="shared" si="25"/>
        <v>304.46000000000004</v>
      </c>
      <c r="U157" s="22">
        <f t="shared" si="26"/>
        <v>0.6379084967320261</v>
      </c>
      <c r="V157" s="22">
        <f t="shared" si="27"/>
        <v>0.96141215106732347</v>
      </c>
      <c r="W157" s="22">
        <f t="shared" si="28"/>
        <v>0.64893442622950825</v>
      </c>
      <c r="X157" s="1">
        <f t="shared" si="29"/>
        <v>0.39798692810457514</v>
      </c>
      <c r="Z157" s="5"/>
      <c r="AA157" s="5"/>
      <c r="AB157" s="5"/>
      <c r="AC157" s="5"/>
    </row>
    <row r="158" spans="1:29" x14ac:dyDescent="0.3">
      <c r="A158" s="2">
        <v>157</v>
      </c>
      <c r="B158" s="2" t="s">
        <v>4</v>
      </c>
      <c r="C158" s="2">
        <v>1221</v>
      </c>
      <c r="D158" s="10">
        <v>11</v>
      </c>
      <c r="E158" s="10">
        <v>48</v>
      </c>
      <c r="F158" s="9">
        <v>149</v>
      </c>
      <c r="G158" s="9">
        <v>48</v>
      </c>
      <c r="H158" s="7">
        <v>16</v>
      </c>
      <c r="I158" s="9">
        <v>20</v>
      </c>
      <c r="J158" s="7">
        <v>11</v>
      </c>
      <c r="K158" s="9">
        <v>27</v>
      </c>
      <c r="L158" s="9">
        <v>26</v>
      </c>
      <c r="N158" s="7">
        <v>16</v>
      </c>
      <c r="O158" s="8">
        <f t="shared" si="20"/>
        <v>150</v>
      </c>
      <c r="P158" s="1">
        <f t="shared" si="21"/>
        <v>960</v>
      </c>
      <c r="Q158" s="1">
        <f t="shared" si="22"/>
        <v>767</v>
      </c>
      <c r="R158" s="2">
        <f t="shared" si="23"/>
        <v>497</v>
      </c>
      <c r="S158" s="1">
        <f t="shared" si="24"/>
        <v>317.46000000000004</v>
      </c>
      <c r="T158" s="1">
        <f t="shared" si="25"/>
        <v>302.12</v>
      </c>
      <c r="U158" s="22">
        <f t="shared" si="26"/>
        <v>0.64797913950456321</v>
      </c>
      <c r="V158" s="22">
        <f t="shared" si="27"/>
        <v>0.95167895167895167</v>
      </c>
      <c r="W158" s="22">
        <f t="shared" si="28"/>
        <v>0.63875251509054332</v>
      </c>
      <c r="X158" s="1">
        <f t="shared" si="29"/>
        <v>0.39389830508474577</v>
      </c>
      <c r="Z158" s="5"/>
      <c r="AA158" s="5"/>
      <c r="AB158" s="5"/>
      <c r="AC158" s="5"/>
    </row>
    <row r="159" spans="1:29" x14ac:dyDescent="0.3">
      <c r="A159" s="2">
        <v>158</v>
      </c>
      <c r="B159" s="2" t="s">
        <v>3</v>
      </c>
      <c r="C159" s="2">
        <v>1286</v>
      </c>
      <c r="D159" s="10">
        <v>25</v>
      </c>
      <c r="E159" s="10">
        <v>14</v>
      </c>
      <c r="F159" s="9">
        <v>125</v>
      </c>
      <c r="G159" s="9">
        <v>40</v>
      </c>
      <c r="H159" s="7">
        <v>15</v>
      </c>
      <c r="I159" s="9">
        <v>15</v>
      </c>
      <c r="J159" s="7">
        <v>8</v>
      </c>
      <c r="K159" s="9">
        <v>27</v>
      </c>
      <c r="L159" s="9">
        <v>27</v>
      </c>
      <c r="N159" s="7">
        <v>17</v>
      </c>
      <c r="O159" s="8">
        <f t="shared" si="20"/>
        <v>150</v>
      </c>
      <c r="P159" s="1">
        <f t="shared" si="21"/>
        <v>960</v>
      </c>
      <c r="Q159" s="1">
        <f t="shared" si="22"/>
        <v>770</v>
      </c>
      <c r="R159" s="2">
        <f t="shared" si="23"/>
        <v>536</v>
      </c>
      <c r="S159" s="1">
        <f t="shared" si="24"/>
        <v>334.36</v>
      </c>
      <c r="T159" s="1">
        <f t="shared" si="25"/>
        <v>324.22000000000003</v>
      </c>
      <c r="U159" s="22">
        <f t="shared" si="26"/>
        <v>0.69610389610389611</v>
      </c>
      <c r="V159" s="22">
        <f t="shared" si="27"/>
        <v>0.96967340590979778</v>
      </c>
      <c r="W159" s="22">
        <f t="shared" si="28"/>
        <v>0.62380597014925376</v>
      </c>
      <c r="X159" s="1">
        <f t="shared" si="29"/>
        <v>0.42106493506493509</v>
      </c>
      <c r="Z159" s="5"/>
      <c r="AA159" s="5"/>
      <c r="AB159" s="5"/>
      <c r="AC159" s="5"/>
    </row>
    <row r="160" spans="1:29" x14ac:dyDescent="0.3">
      <c r="A160" s="2">
        <v>159</v>
      </c>
      <c r="B160" s="2" t="s">
        <v>5</v>
      </c>
      <c r="C160" s="2">
        <v>1347</v>
      </c>
      <c r="D160" s="10">
        <v>15</v>
      </c>
      <c r="E160" s="10">
        <v>31</v>
      </c>
      <c r="F160" s="9">
        <v>154</v>
      </c>
      <c r="G160" s="9">
        <v>43</v>
      </c>
      <c r="H160" s="7">
        <v>17</v>
      </c>
      <c r="I160" s="9">
        <v>15</v>
      </c>
      <c r="J160" s="7">
        <v>6</v>
      </c>
      <c r="K160" s="9">
        <v>27</v>
      </c>
      <c r="L160" s="9">
        <v>32</v>
      </c>
      <c r="N160" s="7">
        <v>18</v>
      </c>
      <c r="O160" s="8">
        <f t="shared" si="20"/>
        <v>150</v>
      </c>
      <c r="P160" s="1">
        <f t="shared" si="21"/>
        <v>960</v>
      </c>
      <c r="Q160" s="1">
        <f t="shared" si="22"/>
        <v>769</v>
      </c>
      <c r="R160" s="2">
        <f t="shared" si="23"/>
        <v>498</v>
      </c>
      <c r="S160" s="1">
        <f t="shared" si="24"/>
        <v>350.22</v>
      </c>
      <c r="T160" s="1">
        <f t="shared" si="25"/>
        <v>338.26</v>
      </c>
      <c r="U160" s="22">
        <f t="shared" si="26"/>
        <v>0.64759427828348504</v>
      </c>
      <c r="V160" s="22">
        <f t="shared" si="27"/>
        <v>0.96585003711952488</v>
      </c>
      <c r="W160" s="22">
        <f t="shared" si="28"/>
        <v>0.70325301204819279</v>
      </c>
      <c r="X160" s="1">
        <f t="shared" si="29"/>
        <v>0.4398699609882965</v>
      </c>
      <c r="Z160" s="5"/>
      <c r="AA160" s="5"/>
      <c r="AB160" s="5"/>
      <c r="AC160" s="5"/>
    </row>
    <row r="161" spans="1:29" x14ac:dyDescent="0.3">
      <c r="A161" s="2">
        <v>160</v>
      </c>
      <c r="B161" s="2" t="s">
        <v>5</v>
      </c>
      <c r="C161" s="2">
        <v>1208</v>
      </c>
      <c r="D161" s="10">
        <v>14</v>
      </c>
      <c r="E161" s="10">
        <v>45</v>
      </c>
      <c r="F161" s="9">
        <v>167</v>
      </c>
      <c r="G161" s="9">
        <v>50</v>
      </c>
      <c r="H161" s="7">
        <v>15</v>
      </c>
      <c r="I161" s="9">
        <v>21</v>
      </c>
      <c r="J161" s="7">
        <v>6</v>
      </c>
      <c r="L161" s="9">
        <v>29</v>
      </c>
      <c r="M161" s="7">
        <v>45</v>
      </c>
      <c r="N161" s="7">
        <v>15</v>
      </c>
      <c r="O161" s="8">
        <f t="shared" si="20"/>
        <v>150</v>
      </c>
      <c r="P161" s="1">
        <f t="shared" si="21"/>
        <v>960</v>
      </c>
      <c r="Q161" s="1">
        <f t="shared" si="22"/>
        <v>729</v>
      </c>
      <c r="R161" s="2">
        <f t="shared" si="23"/>
        <v>462</v>
      </c>
      <c r="S161" s="1">
        <f t="shared" si="24"/>
        <v>314.08</v>
      </c>
      <c r="T161" s="1">
        <f t="shared" si="25"/>
        <v>298.74</v>
      </c>
      <c r="U161" s="22">
        <f t="shared" si="26"/>
        <v>0.63374485596707819</v>
      </c>
      <c r="V161" s="22">
        <f t="shared" si="27"/>
        <v>0.95115894039735094</v>
      </c>
      <c r="W161" s="22">
        <f t="shared" si="28"/>
        <v>0.67982683982683978</v>
      </c>
      <c r="X161" s="1">
        <f t="shared" si="29"/>
        <v>0.40979423868312748</v>
      </c>
      <c r="Z161" s="5"/>
      <c r="AA161" s="5"/>
      <c r="AB161" s="5"/>
      <c r="AC161" s="5"/>
    </row>
    <row r="162" spans="1:29" x14ac:dyDescent="0.3">
      <c r="A162" s="2">
        <v>161</v>
      </c>
      <c r="B162" s="2" t="s">
        <v>4</v>
      </c>
      <c r="C162" s="2">
        <v>1307</v>
      </c>
      <c r="D162" s="10">
        <v>22</v>
      </c>
      <c r="E162" s="10">
        <v>35</v>
      </c>
      <c r="F162" s="9">
        <v>131</v>
      </c>
      <c r="G162" s="9">
        <v>43</v>
      </c>
      <c r="H162" s="7">
        <v>16</v>
      </c>
      <c r="I162" s="9">
        <v>23</v>
      </c>
      <c r="J162" s="7">
        <v>12</v>
      </c>
      <c r="K162" s="9">
        <v>40</v>
      </c>
      <c r="L162" s="9">
        <v>35</v>
      </c>
      <c r="N162" s="7">
        <v>14</v>
      </c>
      <c r="O162" s="8">
        <f t="shared" si="20"/>
        <v>150</v>
      </c>
      <c r="P162" s="1">
        <f t="shared" si="21"/>
        <v>960</v>
      </c>
      <c r="Q162" s="1">
        <f t="shared" si="22"/>
        <v>768</v>
      </c>
      <c r="R162" s="2">
        <f t="shared" si="23"/>
        <v>496</v>
      </c>
      <c r="S162" s="1">
        <f t="shared" si="24"/>
        <v>339.82</v>
      </c>
      <c r="T162" s="1">
        <f t="shared" si="25"/>
        <v>325</v>
      </c>
      <c r="U162" s="22">
        <f t="shared" si="26"/>
        <v>0.64583333333333337</v>
      </c>
      <c r="V162" s="22">
        <f t="shared" si="27"/>
        <v>0.9563886763580719</v>
      </c>
      <c r="W162" s="22">
        <f t="shared" si="28"/>
        <v>0.68512096774193543</v>
      </c>
      <c r="X162" s="1">
        <f t="shared" si="29"/>
        <v>0.42317708333333331</v>
      </c>
      <c r="Z162" s="5"/>
      <c r="AA162" s="5"/>
      <c r="AB162" s="5"/>
      <c r="AC162" s="5"/>
    </row>
    <row r="163" spans="1:29" x14ac:dyDescent="0.3">
      <c r="A163" s="2">
        <v>162</v>
      </c>
      <c r="B163" s="2" t="s">
        <v>3</v>
      </c>
      <c r="C163" s="2">
        <v>1345</v>
      </c>
      <c r="D163" s="10">
        <v>14</v>
      </c>
      <c r="E163" s="10">
        <v>44</v>
      </c>
      <c r="F163" s="9">
        <v>146</v>
      </c>
      <c r="G163" s="9">
        <v>49</v>
      </c>
      <c r="H163" s="7">
        <v>18</v>
      </c>
      <c r="I163" s="9">
        <v>26</v>
      </c>
      <c r="J163" s="7">
        <v>9</v>
      </c>
      <c r="K163" s="9">
        <v>38</v>
      </c>
      <c r="L163" s="9">
        <v>38</v>
      </c>
      <c r="N163" s="7">
        <v>15</v>
      </c>
      <c r="O163" s="8">
        <f t="shared" si="20"/>
        <v>150</v>
      </c>
      <c r="P163" s="1">
        <f t="shared" si="21"/>
        <v>960</v>
      </c>
      <c r="Q163" s="1">
        <f t="shared" si="22"/>
        <v>768</v>
      </c>
      <c r="R163" s="2">
        <f t="shared" si="23"/>
        <v>471</v>
      </c>
      <c r="S163" s="1">
        <f t="shared" si="24"/>
        <v>349.7</v>
      </c>
      <c r="T163" s="1">
        <f t="shared" si="25"/>
        <v>334.62</v>
      </c>
      <c r="U163" s="22">
        <f t="shared" si="26"/>
        <v>0.61328125</v>
      </c>
      <c r="V163" s="22">
        <f t="shared" si="27"/>
        <v>0.95687732342007437</v>
      </c>
      <c r="W163" s="22">
        <f t="shared" si="28"/>
        <v>0.74246284501061566</v>
      </c>
      <c r="X163" s="1">
        <f t="shared" si="29"/>
        <v>0.43570312499999997</v>
      </c>
      <c r="Z163" s="5"/>
      <c r="AA163" s="5"/>
      <c r="AB163" s="5"/>
      <c r="AC163" s="5"/>
    </row>
    <row r="164" spans="1:29" x14ac:dyDescent="0.3">
      <c r="A164" s="2">
        <v>163</v>
      </c>
      <c r="B164" s="2" t="s">
        <v>2</v>
      </c>
      <c r="C164" s="2">
        <v>1327</v>
      </c>
      <c r="D164" s="10">
        <v>15</v>
      </c>
      <c r="E164" s="10">
        <v>32</v>
      </c>
      <c r="F164" s="9">
        <v>144</v>
      </c>
      <c r="G164" s="9">
        <v>54</v>
      </c>
      <c r="H164" s="7">
        <v>17</v>
      </c>
      <c r="I164" s="9">
        <v>17</v>
      </c>
      <c r="J164" s="7">
        <v>7</v>
      </c>
      <c r="K164" s="9">
        <v>20</v>
      </c>
      <c r="L164" s="9">
        <v>37</v>
      </c>
      <c r="N164" s="7">
        <v>20</v>
      </c>
      <c r="O164" s="8">
        <f t="shared" si="20"/>
        <v>150</v>
      </c>
      <c r="P164" s="1">
        <f t="shared" si="21"/>
        <v>960</v>
      </c>
      <c r="Q164" s="1">
        <f t="shared" si="22"/>
        <v>766</v>
      </c>
      <c r="R164" s="2">
        <f t="shared" si="23"/>
        <v>494</v>
      </c>
      <c r="S164" s="1">
        <f t="shared" si="24"/>
        <v>345.02000000000004</v>
      </c>
      <c r="T164" s="1">
        <f t="shared" si="25"/>
        <v>332.8</v>
      </c>
      <c r="U164" s="22">
        <f t="shared" si="26"/>
        <v>0.64490861618798956</v>
      </c>
      <c r="V164" s="22">
        <f t="shared" si="27"/>
        <v>0.96458176337603618</v>
      </c>
      <c r="W164" s="22">
        <f t="shared" si="28"/>
        <v>0.69842105263157905</v>
      </c>
      <c r="X164" s="1">
        <f t="shared" si="29"/>
        <v>0.43446475195822465</v>
      </c>
      <c r="Z164" s="5"/>
      <c r="AA164" s="5"/>
      <c r="AB164" s="5"/>
      <c r="AC164" s="5"/>
    </row>
    <row r="165" spans="1:29" x14ac:dyDescent="0.3">
      <c r="A165" s="2">
        <v>164</v>
      </c>
      <c r="B165" s="2" t="s">
        <v>4</v>
      </c>
      <c r="C165" s="2">
        <v>1273</v>
      </c>
      <c r="D165" s="10">
        <v>27</v>
      </c>
      <c r="E165" s="10">
        <v>12</v>
      </c>
      <c r="F165" s="9">
        <v>136</v>
      </c>
      <c r="G165" s="9">
        <v>52</v>
      </c>
      <c r="H165" s="7">
        <v>19</v>
      </c>
      <c r="I165" s="9">
        <v>22</v>
      </c>
      <c r="J165" s="7">
        <v>9</v>
      </c>
      <c r="K165" s="9">
        <v>20</v>
      </c>
      <c r="L165" s="9">
        <v>38</v>
      </c>
      <c r="N165" s="7">
        <v>17</v>
      </c>
      <c r="O165" s="8">
        <f t="shared" si="20"/>
        <v>150</v>
      </c>
      <c r="P165" s="1">
        <f t="shared" si="21"/>
        <v>960</v>
      </c>
      <c r="Q165" s="1">
        <f t="shared" si="22"/>
        <v>765</v>
      </c>
      <c r="R165" s="2">
        <f t="shared" si="23"/>
        <v>497</v>
      </c>
      <c r="S165" s="1">
        <f t="shared" si="24"/>
        <v>330.98</v>
      </c>
      <c r="T165" s="1">
        <f t="shared" si="25"/>
        <v>320.84000000000003</v>
      </c>
      <c r="U165" s="22">
        <f t="shared" si="26"/>
        <v>0.64967320261437911</v>
      </c>
      <c r="V165" s="22">
        <f t="shared" si="27"/>
        <v>0.96936370777690495</v>
      </c>
      <c r="W165" s="22">
        <f t="shared" si="28"/>
        <v>0.66595573440643863</v>
      </c>
      <c r="X165" s="1">
        <f t="shared" si="29"/>
        <v>0.41939869281045755</v>
      </c>
      <c r="Z165" s="5"/>
      <c r="AA165" s="5"/>
      <c r="AB165" s="5"/>
      <c r="AC165" s="5"/>
    </row>
    <row r="166" spans="1:29" x14ac:dyDescent="0.3">
      <c r="A166" s="2">
        <v>165</v>
      </c>
      <c r="B166" s="2" t="s">
        <v>3</v>
      </c>
      <c r="C166" s="2">
        <v>1276</v>
      </c>
      <c r="D166" s="10">
        <v>20</v>
      </c>
      <c r="E166" s="10">
        <v>24</v>
      </c>
      <c r="F166" s="9">
        <v>127</v>
      </c>
      <c r="G166" s="9">
        <v>35</v>
      </c>
      <c r="H166" s="7">
        <v>20</v>
      </c>
      <c r="I166" s="9">
        <v>23</v>
      </c>
      <c r="J166" s="7">
        <v>9</v>
      </c>
      <c r="K166" s="9">
        <v>40</v>
      </c>
      <c r="L166" s="9">
        <v>34</v>
      </c>
      <c r="N166" s="7">
        <v>19</v>
      </c>
      <c r="O166" s="8">
        <f t="shared" si="20"/>
        <v>150</v>
      </c>
      <c r="P166" s="1">
        <f t="shared" si="21"/>
        <v>960</v>
      </c>
      <c r="Q166" s="1">
        <f t="shared" si="22"/>
        <v>762</v>
      </c>
      <c r="R166" s="2">
        <f t="shared" si="23"/>
        <v>503</v>
      </c>
      <c r="S166" s="1">
        <f t="shared" si="24"/>
        <v>331.76</v>
      </c>
      <c r="T166" s="1">
        <f t="shared" si="25"/>
        <v>320.32</v>
      </c>
      <c r="U166" s="22">
        <f t="shared" si="26"/>
        <v>0.66010498687664043</v>
      </c>
      <c r="V166" s="22">
        <f t="shared" si="27"/>
        <v>0.96551724137931039</v>
      </c>
      <c r="W166" s="22">
        <f t="shared" si="28"/>
        <v>0.6595626242544731</v>
      </c>
      <c r="X166" s="1">
        <f t="shared" si="29"/>
        <v>0.42036745406824144</v>
      </c>
      <c r="Z166" s="5"/>
      <c r="AA166" s="5"/>
      <c r="AB166" s="5"/>
      <c r="AC166" s="5"/>
    </row>
    <row r="167" spans="1:29" x14ac:dyDescent="0.3">
      <c r="A167" s="2">
        <v>166</v>
      </c>
      <c r="B167" s="2" t="s">
        <v>3</v>
      </c>
      <c r="C167" s="2">
        <v>1111</v>
      </c>
      <c r="D167" s="10">
        <v>13</v>
      </c>
      <c r="E167" s="10">
        <v>47</v>
      </c>
      <c r="F167" s="9">
        <v>160</v>
      </c>
      <c r="G167" s="9">
        <v>53</v>
      </c>
      <c r="H167" s="7">
        <v>18</v>
      </c>
      <c r="I167" s="9">
        <v>17</v>
      </c>
      <c r="J167" s="7">
        <v>10</v>
      </c>
      <c r="L167" s="9">
        <v>32</v>
      </c>
      <c r="N167" s="7">
        <v>13</v>
      </c>
      <c r="O167" s="8">
        <f t="shared" si="20"/>
        <v>150</v>
      </c>
      <c r="P167" s="1">
        <f t="shared" si="21"/>
        <v>960</v>
      </c>
      <c r="Q167" s="1">
        <f t="shared" si="22"/>
        <v>769</v>
      </c>
      <c r="R167" s="2">
        <f t="shared" si="23"/>
        <v>507</v>
      </c>
      <c r="S167" s="1">
        <f t="shared" si="24"/>
        <v>288.86</v>
      </c>
      <c r="T167" s="1">
        <f t="shared" si="25"/>
        <v>273.26</v>
      </c>
      <c r="U167" s="22">
        <f t="shared" si="26"/>
        <v>0.65929778933680105</v>
      </c>
      <c r="V167" s="22">
        <f t="shared" si="27"/>
        <v>0.94599459945994602</v>
      </c>
      <c r="W167" s="22">
        <f t="shared" si="28"/>
        <v>0.56974358974358974</v>
      </c>
      <c r="X167" s="1">
        <f t="shared" si="29"/>
        <v>0.35534460338101431</v>
      </c>
      <c r="Z167" s="5"/>
      <c r="AA167" s="5"/>
      <c r="AB167" s="5"/>
      <c r="AC167" s="5"/>
    </row>
    <row r="168" spans="1:29" x14ac:dyDescent="0.3">
      <c r="A168" s="2">
        <v>167</v>
      </c>
      <c r="B168" s="2" t="s">
        <v>5</v>
      </c>
      <c r="C168" s="2">
        <v>1379</v>
      </c>
      <c r="D168" s="10">
        <v>17</v>
      </c>
      <c r="E168" s="10">
        <v>19</v>
      </c>
      <c r="F168" s="9">
        <v>142</v>
      </c>
      <c r="G168" s="9">
        <v>47</v>
      </c>
      <c r="H168" s="7">
        <v>17</v>
      </c>
      <c r="I168" s="9">
        <v>18</v>
      </c>
      <c r="J168" s="7">
        <v>7</v>
      </c>
      <c r="K168" s="9">
        <v>36</v>
      </c>
      <c r="L168" s="9">
        <v>25</v>
      </c>
      <c r="N168" s="7">
        <v>16</v>
      </c>
      <c r="O168" s="8">
        <f t="shared" si="20"/>
        <v>150</v>
      </c>
      <c r="P168" s="1">
        <f t="shared" si="21"/>
        <v>960</v>
      </c>
      <c r="Q168" s="1">
        <f t="shared" si="22"/>
        <v>770</v>
      </c>
      <c r="R168" s="2">
        <f t="shared" si="23"/>
        <v>502</v>
      </c>
      <c r="S168" s="1">
        <f t="shared" si="24"/>
        <v>358.54</v>
      </c>
      <c r="T168" s="1">
        <f t="shared" si="25"/>
        <v>349.18</v>
      </c>
      <c r="U168" s="22">
        <f t="shared" si="26"/>
        <v>0.65194805194805194</v>
      </c>
      <c r="V168" s="22">
        <f t="shared" si="27"/>
        <v>0.97389412617839011</v>
      </c>
      <c r="W168" s="22">
        <f t="shared" si="28"/>
        <v>0.71422310756972118</v>
      </c>
      <c r="X168" s="1">
        <f t="shared" si="29"/>
        <v>0.45348051948051954</v>
      </c>
      <c r="Z168" s="5"/>
      <c r="AA168" s="5"/>
      <c r="AB168" s="5"/>
      <c r="AC168" s="5"/>
    </row>
    <row r="169" spans="1:29" x14ac:dyDescent="0.3">
      <c r="A169" s="2">
        <v>168</v>
      </c>
      <c r="B169" s="2" t="s">
        <v>4</v>
      </c>
      <c r="C169" s="2">
        <v>1326</v>
      </c>
      <c r="D169" s="10">
        <v>14</v>
      </c>
      <c r="E169" s="10">
        <v>16</v>
      </c>
      <c r="F169" s="9">
        <v>137</v>
      </c>
      <c r="G169" s="9">
        <v>44</v>
      </c>
      <c r="H169" s="7">
        <v>20</v>
      </c>
      <c r="I169" s="9">
        <v>21</v>
      </c>
      <c r="J169" s="7">
        <v>7</v>
      </c>
      <c r="K169" s="9">
        <v>35</v>
      </c>
      <c r="L169" s="9">
        <v>31</v>
      </c>
      <c r="N169" s="7">
        <v>15</v>
      </c>
      <c r="O169" s="8">
        <f t="shared" si="20"/>
        <v>150</v>
      </c>
      <c r="P169" s="1">
        <f t="shared" si="21"/>
        <v>960</v>
      </c>
      <c r="Q169" s="1">
        <f t="shared" si="22"/>
        <v>768</v>
      </c>
      <c r="R169" s="2">
        <f t="shared" si="23"/>
        <v>500</v>
      </c>
      <c r="S169" s="1">
        <f t="shared" si="24"/>
        <v>344.76</v>
      </c>
      <c r="T169" s="1">
        <f t="shared" si="25"/>
        <v>336.96000000000004</v>
      </c>
      <c r="U169" s="22">
        <f t="shared" si="26"/>
        <v>0.65104166666666663</v>
      </c>
      <c r="V169" s="22">
        <f t="shared" si="27"/>
        <v>0.9773755656108597</v>
      </c>
      <c r="W169" s="22">
        <f t="shared" si="28"/>
        <v>0.68952000000000002</v>
      </c>
      <c r="X169" s="1">
        <f t="shared" si="29"/>
        <v>0.43874999999999997</v>
      </c>
      <c r="Z169" s="5"/>
      <c r="AA169" s="5"/>
      <c r="AB169" s="5"/>
      <c r="AC169" s="5"/>
    </row>
    <row r="170" spans="1:29" x14ac:dyDescent="0.3">
      <c r="A170" s="2">
        <v>169</v>
      </c>
      <c r="B170" s="2" t="s">
        <v>3</v>
      </c>
      <c r="C170" s="2">
        <v>1132</v>
      </c>
      <c r="D170" s="10">
        <v>16</v>
      </c>
      <c r="E170" s="10">
        <v>21</v>
      </c>
      <c r="F170" s="9">
        <v>146</v>
      </c>
      <c r="G170" s="9">
        <v>37</v>
      </c>
      <c r="H170" s="7">
        <v>18</v>
      </c>
      <c r="I170" s="9">
        <v>17</v>
      </c>
      <c r="J170" s="7">
        <v>8</v>
      </c>
      <c r="K170" s="9">
        <v>33</v>
      </c>
      <c r="L170" s="9">
        <v>31</v>
      </c>
      <c r="N170" s="7">
        <v>16</v>
      </c>
      <c r="O170" s="8">
        <f t="shared" si="20"/>
        <v>150</v>
      </c>
      <c r="P170" s="1">
        <f t="shared" si="21"/>
        <v>960</v>
      </c>
      <c r="Q170" s="1">
        <f t="shared" si="22"/>
        <v>768</v>
      </c>
      <c r="R170" s="2">
        <f t="shared" si="23"/>
        <v>504</v>
      </c>
      <c r="S170" s="1">
        <f t="shared" si="24"/>
        <v>294.32</v>
      </c>
      <c r="T170" s="1">
        <f t="shared" si="25"/>
        <v>284.7</v>
      </c>
      <c r="U170" s="22">
        <f t="shared" si="26"/>
        <v>0.65625</v>
      </c>
      <c r="V170" s="22">
        <f t="shared" si="27"/>
        <v>0.96731448763250882</v>
      </c>
      <c r="W170" s="22">
        <f t="shared" si="28"/>
        <v>0.58396825396825391</v>
      </c>
      <c r="X170" s="1">
        <f t="shared" si="29"/>
        <v>0.37070312499999997</v>
      </c>
      <c r="Z170" s="5"/>
      <c r="AA170" s="5"/>
      <c r="AB170" s="5"/>
      <c r="AC170" s="5"/>
    </row>
    <row r="171" spans="1:29" x14ac:dyDescent="0.3">
      <c r="A171" s="2">
        <v>170</v>
      </c>
      <c r="B171" s="2" t="s">
        <v>2</v>
      </c>
      <c r="C171" s="2">
        <v>1220</v>
      </c>
      <c r="D171" s="10">
        <v>26</v>
      </c>
      <c r="E171" s="10">
        <v>15</v>
      </c>
      <c r="F171" s="9">
        <v>171</v>
      </c>
      <c r="G171" s="9">
        <v>46</v>
      </c>
      <c r="H171" s="7">
        <v>19</v>
      </c>
      <c r="I171" s="9">
        <v>15</v>
      </c>
      <c r="J171" s="7">
        <v>8</v>
      </c>
      <c r="K171" s="9">
        <v>28</v>
      </c>
      <c r="L171" s="9">
        <v>27</v>
      </c>
      <c r="M171" s="7">
        <v>55</v>
      </c>
      <c r="N171" s="7">
        <v>14</v>
      </c>
      <c r="O171" s="8">
        <f t="shared" si="20"/>
        <v>150</v>
      </c>
      <c r="P171" s="1">
        <f t="shared" si="21"/>
        <v>960</v>
      </c>
      <c r="Q171" s="1">
        <f t="shared" si="22"/>
        <v>714</v>
      </c>
      <c r="R171" s="2">
        <f t="shared" si="23"/>
        <v>427</v>
      </c>
      <c r="S171" s="1">
        <f t="shared" si="24"/>
        <v>317.2</v>
      </c>
      <c r="T171" s="1">
        <f t="shared" si="25"/>
        <v>306.54000000000002</v>
      </c>
      <c r="U171" s="22">
        <f t="shared" si="26"/>
        <v>0.59803921568627449</v>
      </c>
      <c r="V171" s="22">
        <f t="shared" si="27"/>
        <v>0.96639344262295079</v>
      </c>
      <c r="W171" s="22">
        <f t="shared" si="28"/>
        <v>0.74285714285714288</v>
      </c>
      <c r="X171" s="1">
        <f t="shared" si="29"/>
        <v>0.42932773109243694</v>
      </c>
      <c r="Z171" s="5"/>
      <c r="AA171" s="5"/>
      <c r="AB171" s="5"/>
      <c r="AC171" s="5"/>
    </row>
    <row r="172" spans="1:29" x14ac:dyDescent="0.3">
      <c r="A172" s="2">
        <v>171</v>
      </c>
      <c r="B172" s="2" t="s">
        <v>4</v>
      </c>
      <c r="C172" s="2">
        <v>1196</v>
      </c>
      <c r="D172" s="10">
        <v>16</v>
      </c>
      <c r="E172" s="10">
        <v>29</v>
      </c>
      <c r="F172" s="9">
        <v>146</v>
      </c>
      <c r="G172" s="9">
        <v>51</v>
      </c>
      <c r="H172" s="7">
        <v>19</v>
      </c>
      <c r="I172" s="9">
        <v>16</v>
      </c>
      <c r="J172" s="7">
        <v>9</v>
      </c>
      <c r="K172" s="9">
        <v>27</v>
      </c>
      <c r="L172" s="9">
        <v>36</v>
      </c>
      <c r="N172" s="7">
        <v>15</v>
      </c>
      <c r="O172" s="8">
        <f t="shared" si="20"/>
        <v>150</v>
      </c>
      <c r="P172" s="1">
        <f t="shared" si="21"/>
        <v>960</v>
      </c>
      <c r="Q172" s="1">
        <f t="shared" si="22"/>
        <v>767</v>
      </c>
      <c r="R172" s="2">
        <f t="shared" si="23"/>
        <v>491</v>
      </c>
      <c r="S172" s="1">
        <f t="shared" si="24"/>
        <v>310.96000000000004</v>
      </c>
      <c r="T172" s="1">
        <f t="shared" si="25"/>
        <v>299.26</v>
      </c>
      <c r="U172" s="22">
        <f t="shared" si="26"/>
        <v>0.64015645371577579</v>
      </c>
      <c r="V172" s="22">
        <f t="shared" si="27"/>
        <v>0.9623745819397993</v>
      </c>
      <c r="W172" s="22">
        <f t="shared" si="28"/>
        <v>0.63331975560081477</v>
      </c>
      <c r="X172" s="1">
        <f t="shared" si="29"/>
        <v>0.39016949152542379</v>
      </c>
      <c r="Z172" s="5"/>
      <c r="AA172" s="5"/>
      <c r="AB172" s="5"/>
      <c r="AC172" s="5"/>
    </row>
    <row r="173" spans="1:29" x14ac:dyDescent="0.3">
      <c r="A173" s="2">
        <v>172</v>
      </c>
      <c r="B173" s="2" t="s">
        <v>3</v>
      </c>
      <c r="C173" s="2">
        <v>1214</v>
      </c>
      <c r="D173" s="10">
        <v>20</v>
      </c>
      <c r="E173" s="10">
        <v>45</v>
      </c>
      <c r="F173" s="9">
        <v>119</v>
      </c>
      <c r="G173" s="9">
        <v>61</v>
      </c>
      <c r="H173" s="7">
        <v>16</v>
      </c>
      <c r="I173" s="9">
        <v>19</v>
      </c>
      <c r="J173" s="7">
        <v>11</v>
      </c>
      <c r="K173" s="9">
        <v>17</v>
      </c>
      <c r="L173" s="9">
        <v>34</v>
      </c>
      <c r="N173" s="7">
        <v>15</v>
      </c>
      <c r="O173" s="8">
        <f t="shared" si="20"/>
        <v>150</v>
      </c>
      <c r="P173" s="1">
        <f t="shared" si="21"/>
        <v>960</v>
      </c>
      <c r="Q173" s="1">
        <f t="shared" si="22"/>
        <v>768</v>
      </c>
      <c r="R173" s="2">
        <f t="shared" si="23"/>
        <v>518</v>
      </c>
      <c r="S173" s="1">
        <f t="shared" si="24"/>
        <v>315.64</v>
      </c>
      <c r="T173" s="1">
        <f t="shared" si="25"/>
        <v>298.74</v>
      </c>
      <c r="U173" s="22">
        <f t="shared" si="26"/>
        <v>0.67447916666666663</v>
      </c>
      <c r="V173" s="22">
        <f t="shared" si="27"/>
        <v>0.94645799011532128</v>
      </c>
      <c r="W173" s="22">
        <f t="shared" si="28"/>
        <v>0.60934362934362929</v>
      </c>
      <c r="X173" s="1">
        <f t="shared" si="29"/>
        <v>0.38898437499999994</v>
      </c>
      <c r="Z173" s="5"/>
      <c r="AA173" s="5"/>
      <c r="AB173" s="5"/>
      <c r="AC173" s="5"/>
    </row>
    <row r="174" spans="1:29" x14ac:dyDescent="0.3">
      <c r="A174" s="2">
        <v>173</v>
      </c>
      <c r="B174" s="2" t="s">
        <v>5</v>
      </c>
      <c r="C174" s="2">
        <v>1213</v>
      </c>
      <c r="D174" s="10">
        <v>13</v>
      </c>
      <c r="E174" s="10">
        <v>15</v>
      </c>
      <c r="F174" s="9">
        <v>136</v>
      </c>
      <c r="G174" s="9">
        <v>54</v>
      </c>
      <c r="H174" s="7">
        <v>16</v>
      </c>
      <c r="I174" s="9">
        <v>14</v>
      </c>
      <c r="J174" s="7">
        <v>12</v>
      </c>
      <c r="K174" s="9">
        <v>23</v>
      </c>
      <c r="L174" s="9">
        <v>38</v>
      </c>
      <c r="N174" s="7">
        <v>15</v>
      </c>
      <c r="O174" s="8">
        <f t="shared" si="20"/>
        <v>150</v>
      </c>
      <c r="P174" s="1">
        <f t="shared" si="21"/>
        <v>960</v>
      </c>
      <c r="Q174" s="1">
        <f t="shared" si="22"/>
        <v>767</v>
      </c>
      <c r="R174" s="2">
        <f t="shared" si="23"/>
        <v>502</v>
      </c>
      <c r="S174" s="1">
        <f t="shared" si="24"/>
        <v>315.38</v>
      </c>
      <c r="T174" s="1">
        <f t="shared" si="25"/>
        <v>308.10000000000002</v>
      </c>
      <c r="U174" s="22">
        <f t="shared" si="26"/>
        <v>0.65449804432855285</v>
      </c>
      <c r="V174" s="22">
        <f t="shared" si="27"/>
        <v>0.97691673536685908</v>
      </c>
      <c r="W174" s="22">
        <f t="shared" si="28"/>
        <v>0.62824701195219124</v>
      </c>
      <c r="X174" s="1">
        <f t="shared" si="29"/>
        <v>0.40169491525423734</v>
      </c>
      <c r="Z174" s="5"/>
      <c r="AA174" s="5"/>
      <c r="AB174" s="5"/>
      <c r="AC174" s="5"/>
    </row>
    <row r="175" spans="1:29" x14ac:dyDescent="0.3">
      <c r="A175" s="2">
        <v>174</v>
      </c>
      <c r="B175" s="2" t="s">
        <v>4</v>
      </c>
      <c r="C175" s="2">
        <v>1268</v>
      </c>
      <c r="D175" s="10">
        <v>27</v>
      </c>
      <c r="E175" s="10">
        <v>32</v>
      </c>
      <c r="F175" s="9">
        <v>140</v>
      </c>
      <c r="G175" s="9">
        <v>45</v>
      </c>
      <c r="H175" s="7">
        <v>20</v>
      </c>
      <c r="I175" s="9">
        <v>21</v>
      </c>
      <c r="J175" s="7">
        <v>10</v>
      </c>
      <c r="K175" s="9">
        <v>34</v>
      </c>
      <c r="L175" s="9">
        <v>37</v>
      </c>
      <c r="N175" s="7">
        <v>17</v>
      </c>
      <c r="O175" s="8">
        <f t="shared" si="20"/>
        <v>150</v>
      </c>
      <c r="P175" s="1">
        <f t="shared" si="21"/>
        <v>960</v>
      </c>
      <c r="Q175" s="1">
        <f t="shared" si="22"/>
        <v>763</v>
      </c>
      <c r="R175" s="2">
        <f t="shared" si="23"/>
        <v>486</v>
      </c>
      <c r="S175" s="1">
        <f t="shared" si="24"/>
        <v>329.68</v>
      </c>
      <c r="T175" s="1">
        <f t="shared" si="25"/>
        <v>314.34000000000003</v>
      </c>
      <c r="U175" s="22">
        <f t="shared" si="26"/>
        <v>0.63695937090432508</v>
      </c>
      <c r="V175" s="22">
        <f t="shared" si="27"/>
        <v>0.95347003154574128</v>
      </c>
      <c r="W175" s="22">
        <f t="shared" si="28"/>
        <v>0.67835390946502061</v>
      </c>
      <c r="X175" s="1">
        <f t="shared" si="29"/>
        <v>0.41197903014416776</v>
      </c>
      <c r="Z175" s="5"/>
      <c r="AA175" s="5"/>
      <c r="AB175" s="5"/>
      <c r="AC175" s="5"/>
    </row>
    <row r="176" spans="1:29" x14ac:dyDescent="0.3">
      <c r="A176" s="2">
        <v>175</v>
      </c>
      <c r="B176" s="2" t="s">
        <v>3</v>
      </c>
      <c r="C176" s="2">
        <v>1307</v>
      </c>
      <c r="D176" s="10">
        <v>20</v>
      </c>
      <c r="E176" s="10">
        <v>36</v>
      </c>
      <c r="F176" s="9">
        <v>147</v>
      </c>
      <c r="G176" s="9">
        <v>50</v>
      </c>
      <c r="H176" s="7">
        <v>20</v>
      </c>
      <c r="I176" s="9">
        <v>15</v>
      </c>
      <c r="J176" s="7">
        <v>8</v>
      </c>
      <c r="K176" s="9">
        <v>18</v>
      </c>
      <c r="L176" s="9">
        <v>35</v>
      </c>
      <c r="N176" s="7">
        <v>13</v>
      </c>
      <c r="O176" s="8">
        <f t="shared" si="20"/>
        <v>150</v>
      </c>
      <c r="P176" s="1">
        <f t="shared" si="21"/>
        <v>960</v>
      </c>
      <c r="Q176" s="1">
        <f t="shared" si="22"/>
        <v>769</v>
      </c>
      <c r="R176" s="2">
        <f t="shared" si="23"/>
        <v>504</v>
      </c>
      <c r="S176" s="1">
        <f t="shared" si="24"/>
        <v>339.82</v>
      </c>
      <c r="T176" s="1">
        <f t="shared" si="25"/>
        <v>325.26</v>
      </c>
      <c r="U176" s="22">
        <f t="shared" si="26"/>
        <v>0.65539661898569568</v>
      </c>
      <c r="V176" s="22">
        <f t="shared" si="27"/>
        <v>0.95715378729915834</v>
      </c>
      <c r="W176" s="22">
        <f t="shared" si="28"/>
        <v>0.6742460317460317</v>
      </c>
      <c r="X176" s="1">
        <f t="shared" si="29"/>
        <v>0.42296488946683997</v>
      </c>
      <c r="Z176" s="5"/>
      <c r="AA176" s="5"/>
      <c r="AB176" s="5"/>
      <c r="AC176" s="5"/>
    </row>
    <row r="177" spans="1:29" x14ac:dyDescent="0.3">
      <c r="A177" s="2">
        <v>176</v>
      </c>
      <c r="B177" s="2" t="s">
        <v>2</v>
      </c>
      <c r="C177" s="2">
        <v>1221</v>
      </c>
      <c r="D177" s="10">
        <v>24</v>
      </c>
      <c r="E177" s="10">
        <v>47</v>
      </c>
      <c r="F177" s="9">
        <v>150</v>
      </c>
      <c r="G177" s="9">
        <v>52</v>
      </c>
      <c r="H177" s="7">
        <v>18</v>
      </c>
      <c r="I177" s="9">
        <v>21</v>
      </c>
      <c r="J177" s="7">
        <v>13</v>
      </c>
      <c r="K177" s="9">
        <v>20</v>
      </c>
      <c r="L177" s="9">
        <v>32</v>
      </c>
      <c r="N177" s="7">
        <v>14</v>
      </c>
      <c r="O177" s="8">
        <f t="shared" si="20"/>
        <v>150</v>
      </c>
      <c r="P177" s="1">
        <f t="shared" si="21"/>
        <v>960</v>
      </c>
      <c r="Q177" s="1">
        <f t="shared" si="22"/>
        <v>765</v>
      </c>
      <c r="R177" s="2">
        <f t="shared" si="23"/>
        <v>490</v>
      </c>
      <c r="S177" s="1">
        <f t="shared" si="24"/>
        <v>317.46000000000004</v>
      </c>
      <c r="T177" s="1">
        <f t="shared" si="25"/>
        <v>299</v>
      </c>
      <c r="U177" s="22">
        <f t="shared" si="26"/>
        <v>0.64052287581699341</v>
      </c>
      <c r="V177" s="22">
        <f t="shared" si="27"/>
        <v>0.94185094185094187</v>
      </c>
      <c r="W177" s="22">
        <f t="shared" si="28"/>
        <v>0.64787755102040823</v>
      </c>
      <c r="X177" s="1">
        <f t="shared" si="29"/>
        <v>0.39084967320261443</v>
      </c>
      <c r="Z177" s="5"/>
      <c r="AA177" s="5"/>
      <c r="AB177" s="5"/>
      <c r="AC177" s="5"/>
    </row>
    <row r="178" spans="1:29" x14ac:dyDescent="0.3">
      <c r="A178" s="2">
        <v>177</v>
      </c>
      <c r="B178" s="2" t="s">
        <v>3</v>
      </c>
      <c r="C178" s="2">
        <v>1209</v>
      </c>
      <c r="D178" s="10">
        <v>27</v>
      </c>
      <c r="E178" s="10">
        <v>30</v>
      </c>
      <c r="F178" s="9">
        <v>156</v>
      </c>
      <c r="G178" s="9">
        <v>44</v>
      </c>
      <c r="H178" s="7">
        <v>20</v>
      </c>
      <c r="I178" s="9">
        <v>24</v>
      </c>
      <c r="J178" s="7">
        <v>6</v>
      </c>
      <c r="K178" s="9">
        <v>27</v>
      </c>
      <c r="L178" s="9">
        <v>36</v>
      </c>
      <c r="N178" s="7">
        <v>15</v>
      </c>
      <c r="O178" s="8">
        <f t="shared" si="20"/>
        <v>150</v>
      </c>
      <c r="P178" s="1">
        <f t="shared" si="21"/>
        <v>960</v>
      </c>
      <c r="Q178" s="1">
        <f t="shared" si="22"/>
        <v>769</v>
      </c>
      <c r="R178" s="2">
        <f t="shared" si="23"/>
        <v>482</v>
      </c>
      <c r="S178" s="1">
        <f t="shared" si="24"/>
        <v>314.34000000000003</v>
      </c>
      <c r="T178" s="1">
        <f t="shared" si="25"/>
        <v>299.52</v>
      </c>
      <c r="U178" s="22">
        <f t="shared" si="26"/>
        <v>0.62678803641092329</v>
      </c>
      <c r="V178" s="22">
        <f t="shared" si="27"/>
        <v>0.95285359801488834</v>
      </c>
      <c r="W178" s="22">
        <f t="shared" si="28"/>
        <v>0.65215767634854782</v>
      </c>
      <c r="X178" s="1">
        <f t="shared" si="29"/>
        <v>0.38949284785435634</v>
      </c>
      <c r="Z178" s="5"/>
      <c r="AA178" s="5"/>
      <c r="AB178" s="5"/>
      <c r="AC178" s="5"/>
    </row>
    <row r="179" spans="1:29" x14ac:dyDescent="0.3">
      <c r="A179" s="2">
        <v>178</v>
      </c>
      <c r="B179" s="2" t="s">
        <v>3</v>
      </c>
      <c r="C179" s="2">
        <v>1306</v>
      </c>
      <c r="D179" s="10">
        <v>25</v>
      </c>
      <c r="E179" s="10">
        <v>39</v>
      </c>
      <c r="F179" s="9">
        <v>157</v>
      </c>
      <c r="G179" s="9">
        <v>49</v>
      </c>
      <c r="H179" s="7">
        <v>15</v>
      </c>
      <c r="I179" s="9">
        <v>21</v>
      </c>
      <c r="J179" s="7">
        <v>8</v>
      </c>
      <c r="L179" s="9">
        <v>29</v>
      </c>
      <c r="N179" s="7">
        <v>16</v>
      </c>
      <c r="O179" s="8">
        <f t="shared" si="20"/>
        <v>150</v>
      </c>
      <c r="P179" s="1">
        <f t="shared" si="21"/>
        <v>960</v>
      </c>
      <c r="Q179" s="1">
        <f t="shared" si="22"/>
        <v>771</v>
      </c>
      <c r="R179" s="2">
        <f t="shared" si="23"/>
        <v>515</v>
      </c>
      <c r="S179" s="1">
        <f t="shared" si="24"/>
        <v>339.56</v>
      </c>
      <c r="T179" s="1">
        <f t="shared" si="25"/>
        <v>322.92</v>
      </c>
      <c r="U179" s="22">
        <f t="shared" si="26"/>
        <v>0.66796368352788582</v>
      </c>
      <c r="V179" s="22">
        <f t="shared" si="27"/>
        <v>0.95099540581929554</v>
      </c>
      <c r="W179" s="22">
        <f t="shared" si="28"/>
        <v>0.65933980582524276</v>
      </c>
      <c r="X179" s="1">
        <f t="shared" si="29"/>
        <v>0.41883268482490271</v>
      </c>
      <c r="Z179" s="5"/>
      <c r="AA179" s="5"/>
      <c r="AB179" s="5"/>
      <c r="AC179" s="5"/>
    </row>
    <row r="180" spans="1:29" x14ac:dyDescent="0.3">
      <c r="A180" s="2">
        <v>179</v>
      </c>
      <c r="B180" s="2" t="s">
        <v>5</v>
      </c>
      <c r="C180" s="2">
        <v>1265</v>
      </c>
      <c r="D180" s="10">
        <v>29</v>
      </c>
      <c r="E180" s="10">
        <v>46</v>
      </c>
      <c r="F180" s="9">
        <v>161</v>
      </c>
      <c r="G180" s="9">
        <v>50</v>
      </c>
      <c r="H180" s="7">
        <v>19</v>
      </c>
      <c r="I180" s="9">
        <v>14</v>
      </c>
      <c r="J180" s="7">
        <v>12</v>
      </c>
      <c r="K180" s="9">
        <v>27</v>
      </c>
      <c r="L180" s="9">
        <v>33</v>
      </c>
      <c r="N180" s="7">
        <v>16</v>
      </c>
      <c r="O180" s="8">
        <f t="shared" si="20"/>
        <v>150</v>
      </c>
      <c r="P180" s="1">
        <f t="shared" si="21"/>
        <v>960</v>
      </c>
      <c r="Q180" s="1">
        <f t="shared" si="22"/>
        <v>763</v>
      </c>
      <c r="R180" s="2">
        <f t="shared" si="23"/>
        <v>478</v>
      </c>
      <c r="S180" s="1">
        <f t="shared" si="24"/>
        <v>328.90000000000003</v>
      </c>
      <c r="T180" s="1">
        <f t="shared" si="25"/>
        <v>309.40000000000003</v>
      </c>
      <c r="U180" s="22">
        <f t="shared" si="26"/>
        <v>0.62647444298820443</v>
      </c>
      <c r="V180" s="22">
        <f t="shared" si="27"/>
        <v>0.94071146245059289</v>
      </c>
      <c r="W180" s="22">
        <f t="shared" si="28"/>
        <v>0.6880753138075314</v>
      </c>
      <c r="X180" s="1">
        <f t="shared" si="29"/>
        <v>0.40550458715596333</v>
      </c>
      <c r="Z180" s="5"/>
      <c r="AA180" s="5"/>
      <c r="AB180" s="5"/>
      <c r="AC180" s="5"/>
    </row>
    <row r="181" spans="1:29" x14ac:dyDescent="0.3">
      <c r="A181" s="2">
        <v>180</v>
      </c>
      <c r="B181" s="2" t="s">
        <v>2</v>
      </c>
      <c r="C181" s="2">
        <v>1213</v>
      </c>
      <c r="D181" s="10">
        <v>30</v>
      </c>
      <c r="E181" s="10">
        <v>29</v>
      </c>
      <c r="F181" s="9">
        <v>150</v>
      </c>
      <c r="G181" s="9">
        <v>54</v>
      </c>
      <c r="H181" s="7">
        <v>15</v>
      </c>
      <c r="I181" s="9">
        <v>27</v>
      </c>
      <c r="J181" s="7">
        <v>8</v>
      </c>
      <c r="K181" s="9">
        <v>17</v>
      </c>
      <c r="L181" s="9">
        <v>28</v>
      </c>
      <c r="M181" s="7">
        <v>65</v>
      </c>
      <c r="N181" s="7">
        <v>17</v>
      </c>
      <c r="O181" s="8">
        <f t="shared" si="20"/>
        <v>150</v>
      </c>
      <c r="P181" s="1">
        <f t="shared" si="21"/>
        <v>960</v>
      </c>
      <c r="Q181" s="1">
        <f t="shared" si="22"/>
        <v>705</v>
      </c>
      <c r="R181" s="2">
        <f t="shared" si="23"/>
        <v>429</v>
      </c>
      <c r="S181" s="1">
        <f t="shared" si="24"/>
        <v>315.38</v>
      </c>
      <c r="T181" s="1">
        <f t="shared" si="25"/>
        <v>300.04000000000002</v>
      </c>
      <c r="U181" s="22">
        <f t="shared" si="26"/>
        <v>0.60851063829787233</v>
      </c>
      <c r="V181" s="22">
        <f t="shared" si="27"/>
        <v>0.95136026380873862</v>
      </c>
      <c r="W181" s="22">
        <f t="shared" si="28"/>
        <v>0.73515151515151511</v>
      </c>
      <c r="X181" s="1">
        <f t="shared" si="29"/>
        <v>0.42558865248226951</v>
      </c>
      <c r="Z181" s="5"/>
      <c r="AA181" s="5"/>
      <c r="AB181" s="5"/>
      <c r="AC181" s="5"/>
    </row>
    <row r="182" spans="1:29" x14ac:dyDescent="0.3">
      <c r="A182" s="2">
        <v>181</v>
      </c>
      <c r="B182" s="2" t="s">
        <v>3</v>
      </c>
      <c r="C182" s="2">
        <v>1293</v>
      </c>
      <c r="D182" s="10">
        <v>19</v>
      </c>
      <c r="E182" s="10">
        <v>44</v>
      </c>
      <c r="F182" s="9">
        <v>152</v>
      </c>
      <c r="G182" s="9">
        <v>49</v>
      </c>
      <c r="H182" s="7">
        <v>19</v>
      </c>
      <c r="I182" s="9">
        <v>17</v>
      </c>
      <c r="J182" s="7">
        <v>7</v>
      </c>
      <c r="K182" s="9">
        <v>18</v>
      </c>
      <c r="L182" s="9">
        <v>30</v>
      </c>
      <c r="N182" s="7">
        <v>12</v>
      </c>
      <c r="O182" s="8">
        <f t="shared" si="20"/>
        <v>150</v>
      </c>
      <c r="P182" s="1">
        <f t="shared" si="21"/>
        <v>960</v>
      </c>
      <c r="Q182" s="1">
        <f t="shared" si="22"/>
        <v>772</v>
      </c>
      <c r="R182" s="2">
        <f t="shared" si="23"/>
        <v>506</v>
      </c>
      <c r="S182" s="1">
        <f t="shared" si="24"/>
        <v>336.18</v>
      </c>
      <c r="T182" s="1">
        <f t="shared" si="25"/>
        <v>319.8</v>
      </c>
      <c r="U182" s="22">
        <f t="shared" si="26"/>
        <v>0.65544041450777202</v>
      </c>
      <c r="V182" s="22">
        <f t="shared" si="27"/>
        <v>0.95127610208816704</v>
      </c>
      <c r="W182" s="22">
        <f t="shared" si="28"/>
        <v>0.66438735177865615</v>
      </c>
      <c r="X182" s="1">
        <f t="shared" si="29"/>
        <v>0.41424870466321245</v>
      </c>
      <c r="Z182" s="5"/>
      <c r="AA182" s="5"/>
      <c r="AB182" s="5"/>
      <c r="AC182" s="5"/>
    </row>
    <row r="183" spans="1:29" x14ac:dyDescent="0.3">
      <c r="A183" s="2">
        <v>182</v>
      </c>
      <c r="B183" s="2" t="s">
        <v>4</v>
      </c>
      <c r="C183" s="2">
        <v>1074</v>
      </c>
      <c r="D183" s="10">
        <v>16</v>
      </c>
      <c r="E183" s="10">
        <v>34</v>
      </c>
      <c r="F183" s="9">
        <v>146</v>
      </c>
      <c r="G183" s="9">
        <v>47</v>
      </c>
      <c r="H183" s="7">
        <v>16</v>
      </c>
      <c r="I183" s="9">
        <v>19</v>
      </c>
      <c r="J183" s="7">
        <v>8</v>
      </c>
      <c r="K183" s="9">
        <v>37</v>
      </c>
      <c r="L183" s="9">
        <v>27</v>
      </c>
      <c r="N183" s="7">
        <v>13</v>
      </c>
      <c r="O183" s="8">
        <f t="shared" si="20"/>
        <v>150</v>
      </c>
      <c r="P183" s="1">
        <f t="shared" si="21"/>
        <v>960</v>
      </c>
      <c r="Q183" s="1">
        <f t="shared" si="22"/>
        <v>773</v>
      </c>
      <c r="R183" s="2">
        <f t="shared" si="23"/>
        <v>497</v>
      </c>
      <c r="S183" s="1">
        <f t="shared" si="24"/>
        <v>279.24</v>
      </c>
      <c r="T183" s="1">
        <f t="shared" si="25"/>
        <v>266.24</v>
      </c>
      <c r="U183" s="22">
        <f t="shared" si="26"/>
        <v>0.64294954721862874</v>
      </c>
      <c r="V183" s="22">
        <f t="shared" si="27"/>
        <v>0.95344506517690875</v>
      </c>
      <c r="W183" s="22">
        <f t="shared" si="28"/>
        <v>0.56185110663983906</v>
      </c>
      <c r="X183" s="1">
        <f t="shared" si="29"/>
        <v>0.34442432082794311</v>
      </c>
      <c r="Z183" s="5"/>
      <c r="AA183" s="5"/>
      <c r="AB183" s="5"/>
      <c r="AC183" s="5"/>
    </row>
    <row r="184" spans="1:29" x14ac:dyDescent="0.3">
      <c r="A184" s="2">
        <v>183</v>
      </c>
      <c r="B184" s="2" t="s">
        <v>3</v>
      </c>
      <c r="C184" s="2">
        <v>1117</v>
      </c>
      <c r="D184" s="10">
        <v>29</v>
      </c>
      <c r="E184" s="10">
        <v>14</v>
      </c>
      <c r="F184" s="9">
        <v>149</v>
      </c>
      <c r="G184" s="9">
        <v>43</v>
      </c>
      <c r="H184" s="7">
        <v>19</v>
      </c>
      <c r="I184" s="9">
        <v>24</v>
      </c>
      <c r="J184" s="7">
        <v>9</v>
      </c>
      <c r="K184" s="9">
        <v>36</v>
      </c>
      <c r="L184" s="9">
        <v>32</v>
      </c>
      <c r="N184" s="7">
        <v>18</v>
      </c>
      <c r="O184" s="8">
        <f t="shared" si="20"/>
        <v>150</v>
      </c>
      <c r="P184" s="1">
        <f t="shared" si="21"/>
        <v>960</v>
      </c>
      <c r="Q184" s="1">
        <f t="shared" si="22"/>
        <v>764</v>
      </c>
      <c r="R184" s="2">
        <f t="shared" si="23"/>
        <v>480</v>
      </c>
      <c r="S184" s="1">
        <f t="shared" si="24"/>
        <v>290.42</v>
      </c>
      <c r="T184" s="1">
        <f t="shared" si="25"/>
        <v>279.24</v>
      </c>
      <c r="U184" s="22">
        <f t="shared" si="26"/>
        <v>0.62827225130890052</v>
      </c>
      <c r="V184" s="22">
        <f t="shared" si="27"/>
        <v>0.96150402864816475</v>
      </c>
      <c r="W184" s="22">
        <f t="shared" si="28"/>
        <v>0.6050416666666667</v>
      </c>
      <c r="X184" s="1">
        <f t="shared" si="29"/>
        <v>0.36549738219895289</v>
      </c>
      <c r="Z184" s="5"/>
      <c r="AA184" s="5"/>
      <c r="AB184" s="5"/>
      <c r="AC184" s="5"/>
    </row>
    <row r="185" spans="1:29" x14ac:dyDescent="0.3">
      <c r="A185" s="2">
        <v>184</v>
      </c>
      <c r="B185" s="2" t="s">
        <v>5</v>
      </c>
      <c r="C185" s="2">
        <v>1171</v>
      </c>
      <c r="D185" s="10">
        <v>27</v>
      </c>
      <c r="E185" s="10">
        <v>45</v>
      </c>
      <c r="F185" s="9">
        <v>164</v>
      </c>
      <c r="G185" s="9">
        <v>54</v>
      </c>
      <c r="H185" s="7">
        <v>20</v>
      </c>
      <c r="I185" s="9">
        <v>21</v>
      </c>
      <c r="J185" s="7">
        <v>11</v>
      </c>
      <c r="K185" s="9">
        <v>24</v>
      </c>
      <c r="L185" s="9">
        <v>29</v>
      </c>
      <c r="N185" s="7">
        <v>18</v>
      </c>
      <c r="O185" s="8">
        <f t="shared" si="20"/>
        <v>150</v>
      </c>
      <c r="P185" s="1">
        <f t="shared" si="21"/>
        <v>960</v>
      </c>
      <c r="Q185" s="1">
        <f t="shared" si="22"/>
        <v>761</v>
      </c>
      <c r="R185" s="2">
        <f t="shared" si="23"/>
        <v>469</v>
      </c>
      <c r="S185" s="1">
        <f t="shared" si="24"/>
        <v>304.46000000000004</v>
      </c>
      <c r="T185" s="1">
        <f t="shared" si="25"/>
        <v>285.74</v>
      </c>
      <c r="U185" s="22">
        <f t="shared" si="26"/>
        <v>0.61629434954007889</v>
      </c>
      <c r="V185" s="22">
        <f t="shared" si="27"/>
        <v>0.93851409052092227</v>
      </c>
      <c r="W185" s="22">
        <f t="shared" si="28"/>
        <v>0.64916844349680181</v>
      </c>
      <c r="X185" s="1">
        <f t="shared" si="29"/>
        <v>0.37547963206307494</v>
      </c>
      <c r="Z185" s="5"/>
      <c r="AA185" s="5"/>
      <c r="AB185" s="5"/>
      <c r="AC185" s="5"/>
    </row>
    <row r="186" spans="1:29" x14ac:dyDescent="0.3">
      <c r="A186" s="2">
        <v>185</v>
      </c>
      <c r="B186" s="2" t="s">
        <v>3</v>
      </c>
      <c r="C186" s="2">
        <v>1138</v>
      </c>
      <c r="D186" s="10">
        <v>21</v>
      </c>
      <c r="E186" s="10">
        <v>47</v>
      </c>
      <c r="F186" s="9">
        <v>135</v>
      </c>
      <c r="G186" s="9">
        <v>50</v>
      </c>
      <c r="H186" s="7">
        <v>15</v>
      </c>
      <c r="I186" s="9">
        <v>25</v>
      </c>
      <c r="J186" s="7">
        <v>7</v>
      </c>
      <c r="K186" s="9">
        <v>29</v>
      </c>
      <c r="L186" s="9">
        <v>33</v>
      </c>
      <c r="N186" s="7">
        <v>13</v>
      </c>
      <c r="O186" s="8">
        <f t="shared" si="20"/>
        <v>150</v>
      </c>
      <c r="P186" s="1">
        <f t="shared" si="21"/>
        <v>960</v>
      </c>
      <c r="Q186" s="1">
        <f t="shared" si="22"/>
        <v>775</v>
      </c>
      <c r="R186" s="2">
        <f t="shared" si="23"/>
        <v>503</v>
      </c>
      <c r="S186" s="1">
        <f t="shared" si="24"/>
        <v>295.88</v>
      </c>
      <c r="T186" s="1">
        <f t="shared" si="25"/>
        <v>278.2</v>
      </c>
      <c r="U186" s="22">
        <f t="shared" si="26"/>
        <v>0.64903225806451614</v>
      </c>
      <c r="V186" s="22">
        <f t="shared" si="27"/>
        <v>0.94024604569420034</v>
      </c>
      <c r="W186" s="22">
        <f t="shared" si="28"/>
        <v>0.58823061630218687</v>
      </c>
      <c r="X186" s="1">
        <f t="shared" si="29"/>
        <v>0.35896774193548386</v>
      </c>
      <c r="Z186" s="5"/>
      <c r="AA186" s="5"/>
      <c r="AB186" s="5"/>
      <c r="AC186" s="5"/>
    </row>
    <row r="187" spans="1:29" x14ac:dyDescent="0.3">
      <c r="A187" s="2">
        <v>186</v>
      </c>
      <c r="B187" s="2" t="s">
        <v>5</v>
      </c>
      <c r="C187" s="2">
        <v>1192</v>
      </c>
      <c r="D187" s="10">
        <v>28</v>
      </c>
      <c r="E187" s="10">
        <v>20</v>
      </c>
      <c r="F187" s="9">
        <v>179</v>
      </c>
      <c r="G187" s="9">
        <v>45</v>
      </c>
      <c r="H187" s="7">
        <v>19</v>
      </c>
      <c r="I187" s="9">
        <v>14</v>
      </c>
      <c r="J187" s="7">
        <v>11</v>
      </c>
      <c r="K187" s="9">
        <v>39</v>
      </c>
      <c r="L187" s="9">
        <v>31</v>
      </c>
      <c r="N187" s="7">
        <v>17</v>
      </c>
      <c r="O187" s="8">
        <f t="shared" si="20"/>
        <v>150</v>
      </c>
      <c r="P187" s="1">
        <f t="shared" si="21"/>
        <v>960</v>
      </c>
      <c r="Q187" s="1">
        <f t="shared" si="22"/>
        <v>763</v>
      </c>
      <c r="R187" s="2">
        <f t="shared" si="23"/>
        <v>455</v>
      </c>
      <c r="S187" s="1">
        <f t="shared" si="24"/>
        <v>309.92</v>
      </c>
      <c r="T187" s="1">
        <f t="shared" si="25"/>
        <v>297.44</v>
      </c>
      <c r="U187" s="22">
        <f t="shared" si="26"/>
        <v>0.59633027522935778</v>
      </c>
      <c r="V187" s="22">
        <f t="shared" si="27"/>
        <v>0.95973154362416102</v>
      </c>
      <c r="W187" s="22">
        <f t="shared" si="28"/>
        <v>0.68114285714285716</v>
      </c>
      <c r="X187" s="1">
        <f t="shared" si="29"/>
        <v>0.389829619921363</v>
      </c>
      <c r="Z187" s="5"/>
      <c r="AA187" s="5"/>
      <c r="AB187" s="5"/>
      <c r="AC187" s="5"/>
    </row>
    <row r="188" spans="1:29" x14ac:dyDescent="0.3">
      <c r="A188" s="2">
        <v>187</v>
      </c>
      <c r="B188" s="2" t="s">
        <v>2</v>
      </c>
      <c r="C188" s="2">
        <v>1080</v>
      </c>
      <c r="D188" s="10">
        <v>19</v>
      </c>
      <c r="E188" s="10">
        <v>37</v>
      </c>
      <c r="F188" s="9">
        <v>166</v>
      </c>
      <c r="G188" s="9">
        <v>51</v>
      </c>
      <c r="H188" s="7">
        <v>15</v>
      </c>
      <c r="I188" s="9">
        <v>15</v>
      </c>
      <c r="J188" s="7">
        <v>8</v>
      </c>
      <c r="K188" s="9">
        <v>31</v>
      </c>
      <c r="L188" s="9">
        <v>26</v>
      </c>
      <c r="N188" s="7">
        <v>16</v>
      </c>
      <c r="O188" s="8">
        <f t="shared" si="20"/>
        <v>150</v>
      </c>
      <c r="P188" s="1">
        <f t="shared" si="21"/>
        <v>960</v>
      </c>
      <c r="Q188" s="1">
        <f t="shared" si="22"/>
        <v>771</v>
      </c>
      <c r="R188" s="2">
        <f t="shared" si="23"/>
        <v>482</v>
      </c>
      <c r="S188" s="1">
        <f t="shared" si="24"/>
        <v>280.8</v>
      </c>
      <c r="T188" s="1">
        <f t="shared" si="25"/>
        <v>266.24</v>
      </c>
      <c r="U188" s="22">
        <f t="shared" si="26"/>
        <v>0.6251621271076524</v>
      </c>
      <c r="V188" s="22">
        <f t="shared" si="27"/>
        <v>0.94814814814814818</v>
      </c>
      <c r="W188" s="22">
        <f t="shared" si="28"/>
        <v>0.58257261410788386</v>
      </c>
      <c r="X188" s="1">
        <f t="shared" si="29"/>
        <v>0.34531776913099876</v>
      </c>
      <c r="Z188" s="5"/>
      <c r="AA188" s="5"/>
      <c r="AB188" s="5"/>
      <c r="AC188" s="5"/>
    </row>
    <row r="189" spans="1:29" x14ac:dyDescent="0.3">
      <c r="A189" s="2">
        <v>188</v>
      </c>
      <c r="B189" s="2" t="s">
        <v>4</v>
      </c>
      <c r="C189" s="2">
        <v>1178</v>
      </c>
      <c r="D189" s="10">
        <v>25</v>
      </c>
      <c r="E189" s="10">
        <v>21</v>
      </c>
      <c r="F189" s="9">
        <v>138</v>
      </c>
      <c r="G189" s="9">
        <v>46</v>
      </c>
      <c r="H189" s="7">
        <v>15</v>
      </c>
      <c r="I189" s="9">
        <v>15</v>
      </c>
      <c r="J189" s="7">
        <v>6</v>
      </c>
      <c r="K189" s="9">
        <v>35</v>
      </c>
      <c r="L189" s="9">
        <v>37</v>
      </c>
      <c r="N189" s="7">
        <v>14</v>
      </c>
      <c r="O189" s="8">
        <f t="shared" si="20"/>
        <v>150</v>
      </c>
      <c r="P189" s="1">
        <f t="shared" si="21"/>
        <v>960</v>
      </c>
      <c r="Q189" s="1">
        <f t="shared" si="22"/>
        <v>775</v>
      </c>
      <c r="R189" s="2">
        <f t="shared" si="23"/>
        <v>504</v>
      </c>
      <c r="S189" s="1">
        <f t="shared" si="24"/>
        <v>306.28000000000003</v>
      </c>
      <c r="T189" s="1">
        <f t="shared" si="25"/>
        <v>294.32</v>
      </c>
      <c r="U189" s="22">
        <f t="shared" si="26"/>
        <v>0.65032258064516124</v>
      </c>
      <c r="V189" s="22">
        <f t="shared" si="27"/>
        <v>0.96095076400679114</v>
      </c>
      <c r="W189" s="22">
        <f t="shared" si="28"/>
        <v>0.60769841269841274</v>
      </c>
      <c r="X189" s="1">
        <f t="shared" si="29"/>
        <v>0.37976774193548385</v>
      </c>
      <c r="Z189" s="5"/>
      <c r="AA189" s="5"/>
      <c r="AB189" s="5"/>
      <c r="AC189" s="5"/>
    </row>
    <row r="190" spans="1:29" x14ac:dyDescent="0.3">
      <c r="A190" s="2">
        <v>189</v>
      </c>
      <c r="B190" s="2" t="s">
        <v>3</v>
      </c>
      <c r="C190" s="2">
        <v>983</v>
      </c>
      <c r="D190" s="10">
        <v>14</v>
      </c>
      <c r="E190" s="10">
        <v>26</v>
      </c>
      <c r="F190" s="9">
        <v>163</v>
      </c>
      <c r="G190" s="9">
        <v>43</v>
      </c>
      <c r="H190" s="7">
        <v>19</v>
      </c>
      <c r="I190" s="9">
        <v>13</v>
      </c>
      <c r="J190" s="7">
        <v>10</v>
      </c>
      <c r="K190" s="9">
        <v>39</v>
      </c>
      <c r="L190" s="9">
        <v>32</v>
      </c>
      <c r="N190" s="7">
        <v>18</v>
      </c>
      <c r="O190" s="8">
        <f t="shared" si="20"/>
        <v>150</v>
      </c>
      <c r="P190" s="1">
        <f t="shared" si="21"/>
        <v>960</v>
      </c>
      <c r="Q190" s="1">
        <f t="shared" si="22"/>
        <v>763</v>
      </c>
      <c r="R190" s="2">
        <f t="shared" si="23"/>
        <v>473</v>
      </c>
      <c r="S190" s="1">
        <f t="shared" si="24"/>
        <v>255.58</v>
      </c>
      <c r="T190" s="1">
        <f t="shared" si="25"/>
        <v>245.18</v>
      </c>
      <c r="U190" s="22">
        <f t="shared" si="26"/>
        <v>0.61992136304062906</v>
      </c>
      <c r="V190" s="22">
        <f t="shared" si="27"/>
        <v>0.95930824008138349</v>
      </c>
      <c r="W190" s="22">
        <f t="shared" si="28"/>
        <v>0.540338266384778</v>
      </c>
      <c r="X190" s="1">
        <f t="shared" si="29"/>
        <v>0.32133682830930532</v>
      </c>
      <c r="Z190" s="5"/>
      <c r="AA190" s="5"/>
      <c r="AB190" s="5"/>
      <c r="AC190" s="5"/>
    </row>
    <row r="191" spans="1:29" x14ac:dyDescent="0.3">
      <c r="A191" s="2">
        <v>190</v>
      </c>
      <c r="B191" s="2" t="s">
        <v>5</v>
      </c>
      <c r="C191" s="2">
        <v>1165</v>
      </c>
      <c r="D191" s="10">
        <v>17</v>
      </c>
      <c r="E191" s="10">
        <v>30</v>
      </c>
      <c r="F191" s="9">
        <v>127</v>
      </c>
      <c r="G191" s="9">
        <v>41</v>
      </c>
      <c r="H191" s="7">
        <v>19</v>
      </c>
      <c r="I191" s="9">
        <v>18</v>
      </c>
      <c r="J191" s="7">
        <v>7</v>
      </c>
      <c r="K191" s="9">
        <v>36</v>
      </c>
      <c r="L191" s="9">
        <v>33</v>
      </c>
      <c r="M191" s="7">
        <v>30</v>
      </c>
      <c r="N191" s="7">
        <v>16</v>
      </c>
      <c r="O191" s="8">
        <f t="shared" si="20"/>
        <v>150</v>
      </c>
      <c r="P191" s="1">
        <f t="shared" si="21"/>
        <v>960</v>
      </c>
      <c r="Q191" s="1">
        <f t="shared" si="22"/>
        <v>738</v>
      </c>
      <c r="R191" s="2">
        <f t="shared" si="23"/>
        <v>483</v>
      </c>
      <c r="S191" s="1">
        <f t="shared" si="24"/>
        <v>302.90000000000003</v>
      </c>
      <c r="T191" s="1">
        <f t="shared" si="25"/>
        <v>290.68</v>
      </c>
      <c r="U191" s="22">
        <f t="shared" si="26"/>
        <v>0.65447154471544711</v>
      </c>
      <c r="V191" s="22">
        <f t="shared" si="27"/>
        <v>0.95965665236051501</v>
      </c>
      <c r="W191" s="22">
        <f t="shared" si="28"/>
        <v>0.6271221532091098</v>
      </c>
      <c r="X191" s="1">
        <f t="shared" si="29"/>
        <v>0.39387533875338754</v>
      </c>
      <c r="Z191" s="5"/>
      <c r="AA191" s="5"/>
      <c r="AB191" s="5"/>
      <c r="AC191" s="5"/>
    </row>
    <row r="192" spans="1:29" x14ac:dyDescent="0.3">
      <c r="A192" s="2">
        <v>191</v>
      </c>
      <c r="B192" s="2" t="s">
        <v>4</v>
      </c>
      <c r="C192" s="2">
        <v>1146</v>
      </c>
      <c r="D192" s="10">
        <v>22</v>
      </c>
      <c r="E192" s="10">
        <v>41</v>
      </c>
      <c r="F192" s="9">
        <v>142</v>
      </c>
      <c r="G192" s="9">
        <v>45</v>
      </c>
      <c r="H192" s="7">
        <v>19</v>
      </c>
      <c r="I192" s="9">
        <v>17</v>
      </c>
      <c r="J192" s="7">
        <v>8</v>
      </c>
      <c r="K192" s="9">
        <v>29</v>
      </c>
      <c r="L192" s="9">
        <v>28</v>
      </c>
      <c r="N192" s="7">
        <v>15</v>
      </c>
      <c r="O192" s="8">
        <f t="shared" si="20"/>
        <v>150</v>
      </c>
      <c r="P192" s="1">
        <f t="shared" si="21"/>
        <v>960</v>
      </c>
      <c r="Q192" s="1">
        <f t="shared" si="22"/>
        <v>768</v>
      </c>
      <c r="R192" s="2">
        <f t="shared" si="23"/>
        <v>507</v>
      </c>
      <c r="S192" s="1">
        <f t="shared" si="24"/>
        <v>297.96000000000004</v>
      </c>
      <c r="T192" s="1">
        <f t="shared" si="25"/>
        <v>281.58</v>
      </c>
      <c r="U192" s="22">
        <f t="shared" si="26"/>
        <v>0.66015625</v>
      </c>
      <c r="V192" s="22">
        <f t="shared" si="27"/>
        <v>0.94502617801047117</v>
      </c>
      <c r="W192" s="22">
        <f t="shared" si="28"/>
        <v>0.58769230769230774</v>
      </c>
      <c r="X192" s="1">
        <f t="shared" si="29"/>
        <v>0.366640625</v>
      </c>
      <c r="Z192" s="5"/>
      <c r="AA192" s="5"/>
      <c r="AB192" s="5"/>
      <c r="AC192" s="5"/>
    </row>
    <row r="193" spans="1:29" x14ac:dyDescent="0.3">
      <c r="A193" s="2">
        <v>192</v>
      </c>
      <c r="B193" s="2" t="s">
        <v>2</v>
      </c>
      <c r="C193" s="2">
        <v>1260</v>
      </c>
      <c r="D193" s="10">
        <v>21</v>
      </c>
      <c r="E193" s="10">
        <v>50</v>
      </c>
      <c r="F193" s="9">
        <v>147</v>
      </c>
      <c r="G193" s="9">
        <v>53</v>
      </c>
      <c r="H193" s="7">
        <v>17</v>
      </c>
      <c r="I193" s="9">
        <v>25</v>
      </c>
      <c r="J193" s="7">
        <v>9</v>
      </c>
      <c r="K193" s="9">
        <v>19</v>
      </c>
      <c r="L193" s="9">
        <v>29</v>
      </c>
      <c r="N193" s="7">
        <v>16</v>
      </c>
      <c r="O193" s="8">
        <f t="shared" si="20"/>
        <v>150</v>
      </c>
      <c r="P193" s="1">
        <f t="shared" si="21"/>
        <v>960</v>
      </c>
      <c r="Q193" s="1">
        <f t="shared" si="22"/>
        <v>768</v>
      </c>
      <c r="R193" s="2">
        <f t="shared" si="23"/>
        <v>495</v>
      </c>
      <c r="S193" s="1">
        <f t="shared" si="24"/>
        <v>327.60000000000002</v>
      </c>
      <c r="T193" s="1">
        <f t="shared" si="25"/>
        <v>309.14</v>
      </c>
      <c r="U193" s="22">
        <f t="shared" si="26"/>
        <v>0.64453125</v>
      </c>
      <c r="V193" s="22">
        <f t="shared" si="27"/>
        <v>0.94365079365079363</v>
      </c>
      <c r="W193" s="22">
        <f t="shared" si="28"/>
        <v>0.66181818181818186</v>
      </c>
      <c r="X193" s="1">
        <f t="shared" si="29"/>
        <v>0.40252604166666667</v>
      </c>
      <c r="Z193" s="5"/>
      <c r="AA193" s="5"/>
      <c r="AB193" s="5"/>
      <c r="AC193" s="5"/>
    </row>
    <row r="194" spans="1:29" x14ac:dyDescent="0.3">
      <c r="A194" s="2">
        <v>193</v>
      </c>
      <c r="B194" s="2" t="s">
        <v>2</v>
      </c>
      <c r="C194" s="2">
        <v>1199</v>
      </c>
      <c r="D194" s="10">
        <v>21</v>
      </c>
      <c r="E194" s="10">
        <v>17</v>
      </c>
      <c r="F194" s="9">
        <v>177</v>
      </c>
      <c r="G194" s="9">
        <v>46</v>
      </c>
      <c r="H194" s="7">
        <v>18</v>
      </c>
      <c r="I194" s="9">
        <v>19</v>
      </c>
      <c r="J194" s="7">
        <v>13</v>
      </c>
      <c r="L194" s="9">
        <v>32</v>
      </c>
      <c r="N194" s="7">
        <v>19</v>
      </c>
      <c r="O194" s="8">
        <f t="shared" si="20"/>
        <v>150</v>
      </c>
      <c r="P194" s="1">
        <f t="shared" si="21"/>
        <v>960</v>
      </c>
      <c r="Q194" s="1">
        <f t="shared" si="22"/>
        <v>760</v>
      </c>
      <c r="R194" s="2">
        <f t="shared" si="23"/>
        <v>486</v>
      </c>
      <c r="S194" s="1">
        <f t="shared" si="24"/>
        <v>311.74</v>
      </c>
      <c r="T194" s="1">
        <f t="shared" si="25"/>
        <v>301.86</v>
      </c>
      <c r="U194" s="22">
        <f t="shared" si="26"/>
        <v>0.63947368421052631</v>
      </c>
      <c r="V194" s="22">
        <f t="shared" si="27"/>
        <v>0.96830692243536276</v>
      </c>
      <c r="W194" s="22">
        <f t="shared" si="28"/>
        <v>0.64144032921810701</v>
      </c>
      <c r="X194" s="1">
        <f t="shared" si="29"/>
        <v>0.39718421052631575</v>
      </c>
      <c r="Z194" s="5"/>
      <c r="AA194" s="5"/>
      <c r="AB194" s="5"/>
      <c r="AC194" s="5"/>
    </row>
    <row r="195" spans="1:29" x14ac:dyDescent="0.3">
      <c r="A195" s="2">
        <v>194</v>
      </c>
      <c r="B195" s="2" t="s">
        <v>2</v>
      </c>
      <c r="C195" s="2">
        <v>1260</v>
      </c>
      <c r="D195" s="10">
        <v>10</v>
      </c>
      <c r="E195" s="10">
        <v>22</v>
      </c>
      <c r="F195" s="9">
        <v>180</v>
      </c>
      <c r="G195" s="9">
        <v>40</v>
      </c>
      <c r="H195" s="7">
        <v>17</v>
      </c>
      <c r="I195" s="9">
        <v>17</v>
      </c>
      <c r="J195" s="7">
        <v>8</v>
      </c>
      <c r="L195" s="9">
        <v>34</v>
      </c>
      <c r="N195" s="7">
        <v>17</v>
      </c>
      <c r="O195" s="8">
        <f t="shared" ref="O195:O251" si="30">37500/250</f>
        <v>150</v>
      </c>
      <c r="P195" s="1">
        <f t="shared" ref="P195:P251" si="31">4000*60/250</f>
        <v>960</v>
      </c>
      <c r="Q195" s="1">
        <f t="shared" ref="Q195:Q251" si="32">P195-H195-J195-M195-N195-O195</f>
        <v>768</v>
      </c>
      <c r="R195" s="2">
        <f t="shared" ref="R195:R251" si="33">Q195-F195-G195-I195-K195-L195</f>
        <v>497</v>
      </c>
      <c r="S195" s="1">
        <f t="shared" ref="S195:S251" si="34">C195*0.26</f>
        <v>327.60000000000002</v>
      </c>
      <c r="T195" s="1">
        <f t="shared" ref="T195:T251" si="35">(C195-D195-E195)*0.26</f>
        <v>319.28000000000003</v>
      </c>
      <c r="U195" s="22">
        <f t="shared" ref="U195:U251" si="36">R195/Q195</f>
        <v>0.64713541666666663</v>
      </c>
      <c r="V195" s="22">
        <f t="shared" ref="V195:V251" si="37">(C195-D195-E195)/C195</f>
        <v>0.97460317460317458</v>
      </c>
      <c r="W195" s="22">
        <f t="shared" ref="W195:W251" si="38">S195/R195</f>
        <v>0.6591549295774648</v>
      </c>
      <c r="X195" s="1">
        <f t="shared" ref="X195:X250" si="39">U195*V195*W195</f>
        <v>0.41572916666666665</v>
      </c>
      <c r="Z195" s="5"/>
      <c r="AA195" s="5"/>
      <c r="AB195" s="5"/>
      <c r="AC195" s="5"/>
    </row>
    <row r="196" spans="1:29" x14ac:dyDescent="0.3">
      <c r="A196" s="2">
        <v>195</v>
      </c>
      <c r="B196" s="2" t="s">
        <v>4</v>
      </c>
      <c r="C196" s="2">
        <v>1111</v>
      </c>
      <c r="D196" s="10">
        <v>24</v>
      </c>
      <c r="E196" s="10">
        <v>22</v>
      </c>
      <c r="F196" s="9">
        <v>166</v>
      </c>
      <c r="G196" s="9">
        <v>44</v>
      </c>
      <c r="H196" s="7">
        <v>16</v>
      </c>
      <c r="I196" s="9">
        <v>16</v>
      </c>
      <c r="J196" s="7">
        <v>9</v>
      </c>
      <c r="K196" s="9">
        <v>32</v>
      </c>
      <c r="L196" s="9">
        <v>36</v>
      </c>
      <c r="N196" s="7">
        <v>14</v>
      </c>
      <c r="O196" s="8">
        <f t="shared" si="30"/>
        <v>150</v>
      </c>
      <c r="P196" s="1">
        <f t="shared" si="31"/>
        <v>960</v>
      </c>
      <c r="Q196" s="1">
        <f t="shared" si="32"/>
        <v>771</v>
      </c>
      <c r="R196" s="2">
        <f t="shared" si="33"/>
        <v>477</v>
      </c>
      <c r="S196" s="1">
        <f t="shared" si="34"/>
        <v>288.86</v>
      </c>
      <c r="T196" s="1">
        <f t="shared" si="35"/>
        <v>276.90000000000003</v>
      </c>
      <c r="U196" s="22">
        <f t="shared" si="36"/>
        <v>0.61867704280155644</v>
      </c>
      <c r="V196" s="22">
        <f t="shared" si="37"/>
        <v>0.95859585958595861</v>
      </c>
      <c r="W196" s="22">
        <f t="shared" si="38"/>
        <v>0.60557651991614259</v>
      </c>
      <c r="X196" s="1">
        <f t="shared" si="39"/>
        <v>0.35914396887159533</v>
      </c>
      <c r="Z196" s="5"/>
      <c r="AA196" s="5"/>
      <c r="AB196" s="5"/>
      <c r="AC196" s="5"/>
    </row>
    <row r="197" spans="1:29" x14ac:dyDescent="0.3">
      <c r="A197" s="2">
        <v>196</v>
      </c>
      <c r="B197" s="2" t="s">
        <v>4</v>
      </c>
      <c r="C197" s="2">
        <v>1214</v>
      </c>
      <c r="D197" s="10">
        <v>25</v>
      </c>
      <c r="E197" s="10">
        <v>8</v>
      </c>
      <c r="F197" s="9">
        <v>158</v>
      </c>
      <c r="G197" s="9">
        <v>53</v>
      </c>
      <c r="H197" s="7">
        <v>19</v>
      </c>
      <c r="I197" s="9">
        <v>26</v>
      </c>
      <c r="J197" s="7">
        <v>13</v>
      </c>
      <c r="L197" s="9">
        <v>37</v>
      </c>
      <c r="N197" s="7">
        <v>15</v>
      </c>
      <c r="O197" s="8">
        <f t="shared" si="30"/>
        <v>150</v>
      </c>
      <c r="P197" s="1">
        <f t="shared" si="31"/>
        <v>960</v>
      </c>
      <c r="Q197" s="1">
        <f t="shared" si="32"/>
        <v>763</v>
      </c>
      <c r="R197" s="2">
        <f t="shared" si="33"/>
        <v>489</v>
      </c>
      <c r="S197" s="1">
        <f t="shared" si="34"/>
        <v>315.64</v>
      </c>
      <c r="T197" s="1">
        <f t="shared" si="35"/>
        <v>307.06</v>
      </c>
      <c r="U197" s="22">
        <f t="shared" si="36"/>
        <v>0.64089121887287026</v>
      </c>
      <c r="V197" s="22">
        <f t="shared" si="37"/>
        <v>0.97281713344316312</v>
      </c>
      <c r="W197" s="22">
        <f t="shared" si="38"/>
        <v>0.64548057259713698</v>
      </c>
      <c r="X197" s="1">
        <f t="shared" si="39"/>
        <v>0.40243774574049807</v>
      </c>
      <c r="Z197" s="5"/>
      <c r="AA197" s="5"/>
      <c r="AB197" s="5"/>
      <c r="AC197" s="5"/>
    </row>
    <row r="198" spans="1:29" x14ac:dyDescent="0.3">
      <c r="A198" s="2">
        <v>197</v>
      </c>
      <c r="B198" s="2" t="s">
        <v>4</v>
      </c>
      <c r="C198" s="2">
        <v>1042</v>
      </c>
      <c r="D198" s="10">
        <v>25</v>
      </c>
      <c r="E198" s="10">
        <v>31</v>
      </c>
      <c r="F198" s="9">
        <v>131</v>
      </c>
      <c r="G198" s="9">
        <v>42</v>
      </c>
      <c r="H198" s="7">
        <v>18</v>
      </c>
      <c r="I198" s="9">
        <v>11</v>
      </c>
      <c r="J198" s="7">
        <v>11</v>
      </c>
      <c r="L198" s="9">
        <v>28</v>
      </c>
      <c r="N198" s="7">
        <v>19</v>
      </c>
      <c r="O198" s="8">
        <f t="shared" si="30"/>
        <v>150</v>
      </c>
      <c r="P198" s="1">
        <f t="shared" si="31"/>
        <v>960</v>
      </c>
      <c r="Q198" s="1">
        <f t="shared" si="32"/>
        <v>762</v>
      </c>
      <c r="R198" s="2">
        <f t="shared" si="33"/>
        <v>550</v>
      </c>
      <c r="S198" s="1">
        <f t="shared" si="34"/>
        <v>270.92</v>
      </c>
      <c r="T198" s="1">
        <f t="shared" si="35"/>
        <v>256.36</v>
      </c>
      <c r="U198" s="22">
        <f t="shared" si="36"/>
        <v>0.72178477690288712</v>
      </c>
      <c r="V198" s="22">
        <f t="shared" si="37"/>
        <v>0.946257197696737</v>
      </c>
      <c r="W198" s="22">
        <f t="shared" si="38"/>
        <v>0.49258181818181823</v>
      </c>
      <c r="X198" s="1">
        <f t="shared" si="39"/>
        <v>0.33643044619422574</v>
      </c>
      <c r="Z198" s="5"/>
      <c r="AA198" s="5"/>
      <c r="AB198" s="5"/>
      <c r="AC198" s="5"/>
    </row>
    <row r="199" spans="1:29" x14ac:dyDescent="0.3">
      <c r="A199" s="2">
        <v>198</v>
      </c>
      <c r="B199" s="2" t="s">
        <v>3</v>
      </c>
      <c r="C199" s="2">
        <v>1198</v>
      </c>
      <c r="D199" s="10">
        <v>20</v>
      </c>
      <c r="E199" s="10">
        <v>39</v>
      </c>
      <c r="F199" s="9">
        <v>163</v>
      </c>
      <c r="G199" s="9">
        <v>49</v>
      </c>
      <c r="H199" s="7">
        <v>16</v>
      </c>
      <c r="I199" s="9">
        <v>16</v>
      </c>
      <c r="J199" s="7">
        <v>7</v>
      </c>
      <c r="K199" s="9">
        <v>16</v>
      </c>
      <c r="L199" s="9">
        <v>37</v>
      </c>
      <c r="N199" s="7">
        <v>17</v>
      </c>
      <c r="O199" s="8">
        <f t="shared" si="30"/>
        <v>150</v>
      </c>
      <c r="P199" s="1">
        <f t="shared" si="31"/>
        <v>960</v>
      </c>
      <c r="Q199" s="1">
        <f t="shared" si="32"/>
        <v>770</v>
      </c>
      <c r="R199" s="2">
        <f t="shared" si="33"/>
        <v>489</v>
      </c>
      <c r="S199" s="1">
        <f t="shared" si="34"/>
        <v>311.48</v>
      </c>
      <c r="T199" s="1">
        <f t="shared" si="35"/>
        <v>296.14</v>
      </c>
      <c r="U199" s="22">
        <f t="shared" si="36"/>
        <v>0.63506493506493511</v>
      </c>
      <c r="V199" s="22">
        <f t="shared" si="37"/>
        <v>0.95075125208681133</v>
      </c>
      <c r="W199" s="22">
        <f t="shared" si="38"/>
        <v>0.63697341513292438</v>
      </c>
      <c r="X199" s="1">
        <f t="shared" si="39"/>
        <v>0.3845974025974026</v>
      </c>
      <c r="Z199" s="5"/>
      <c r="AA199" s="5"/>
      <c r="AB199" s="5"/>
      <c r="AC199" s="5"/>
    </row>
    <row r="200" spans="1:29" x14ac:dyDescent="0.3">
      <c r="A200" s="2">
        <v>199</v>
      </c>
      <c r="B200" s="2" t="s">
        <v>2</v>
      </c>
      <c r="C200" s="2">
        <v>1254</v>
      </c>
      <c r="D200" s="10">
        <v>26</v>
      </c>
      <c r="E200" s="10">
        <v>23</v>
      </c>
      <c r="F200" s="9">
        <v>162</v>
      </c>
      <c r="G200" s="9">
        <v>47</v>
      </c>
      <c r="H200" s="7">
        <v>16</v>
      </c>
      <c r="I200" s="9">
        <v>21</v>
      </c>
      <c r="J200" s="7">
        <v>11</v>
      </c>
      <c r="K200" s="9">
        <v>21</v>
      </c>
      <c r="L200" s="9">
        <v>33</v>
      </c>
      <c r="N200" s="7">
        <v>18</v>
      </c>
      <c r="O200" s="8">
        <f t="shared" si="30"/>
        <v>150</v>
      </c>
      <c r="P200" s="1">
        <f t="shared" si="31"/>
        <v>960</v>
      </c>
      <c r="Q200" s="1">
        <f t="shared" si="32"/>
        <v>765</v>
      </c>
      <c r="R200" s="2">
        <f t="shared" si="33"/>
        <v>481</v>
      </c>
      <c r="S200" s="1">
        <f t="shared" si="34"/>
        <v>326.04000000000002</v>
      </c>
      <c r="T200" s="1">
        <f t="shared" si="35"/>
        <v>313.3</v>
      </c>
      <c r="U200" s="22">
        <f t="shared" si="36"/>
        <v>0.62875816993464051</v>
      </c>
      <c r="V200" s="22">
        <f t="shared" si="37"/>
        <v>0.96092503987240829</v>
      </c>
      <c r="W200" s="22">
        <f t="shared" si="38"/>
        <v>0.67783783783783791</v>
      </c>
      <c r="X200" s="1">
        <f t="shared" si="39"/>
        <v>0.40954248366013074</v>
      </c>
      <c r="Z200" s="5"/>
      <c r="AA200" s="5"/>
      <c r="AB200" s="5"/>
      <c r="AC200" s="5"/>
    </row>
    <row r="201" spans="1:29" x14ac:dyDescent="0.3">
      <c r="A201" s="2">
        <v>200</v>
      </c>
      <c r="B201" s="2" t="s">
        <v>4</v>
      </c>
      <c r="C201" s="2">
        <v>964</v>
      </c>
      <c r="D201" s="10">
        <v>11</v>
      </c>
      <c r="E201" s="10">
        <v>5</v>
      </c>
      <c r="F201" s="9">
        <v>171</v>
      </c>
      <c r="G201" s="9">
        <v>56</v>
      </c>
      <c r="H201" s="7">
        <v>19</v>
      </c>
      <c r="I201" s="9">
        <v>24</v>
      </c>
      <c r="J201" s="7">
        <v>9</v>
      </c>
      <c r="K201" s="9">
        <v>26</v>
      </c>
      <c r="L201" s="9">
        <v>29</v>
      </c>
      <c r="M201" s="7">
        <v>45</v>
      </c>
      <c r="N201" s="7">
        <v>18</v>
      </c>
      <c r="O201" s="8">
        <f t="shared" si="30"/>
        <v>150</v>
      </c>
      <c r="P201" s="1">
        <f t="shared" si="31"/>
        <v>960</v>
      </c>
      <c r="Q201" s="1">
        <f t="shared" si="32"/>
        <v>719</v>
      </c>
      <c r="R201" s="2">
        <f t="shared" si="33"/>
        <v>413</v>
      </c>
      <c r="S201" s="1">
        <f t="shared" si="34"/>
        <v>250.64000000000001</v>
      </c>
      <c r="T201" s="1">
        <f t="shared" si="35"/>
        <v>246.48000000000002</v>
      </c>
      <c r="U201" s="22">
        <f t="shared" si="36"/>
        <v>0.57440890125173849</v>
      </c>
      <c r="V201" s="22">
        <f t="shared" si="37"/>
        <v>0.98340248962655596</v>
      </c>
      <c r="W201" s="22">
        <f t="shared" si="38"/>
        <v>0.60687651331719128</v>
      </c>
      <c r="X201" s="1">
        <f t="shared" si="39"/>
        <v>0.34280945757997217</v>
      </c>
      <c r="Z201" s="5"/>
      <c r="AA201" s="5"/>
      <c r="AB201" s="5"/>
      <c r="AC201" s="5"/>
    </row>
    <row r="202" spans="1:29" x14ac:dyDescent="0.3">
      <c r="A202" s="2">
        <v>201</v>
      </c>
      <c r="B202" s="2" t="s">
        <v>3</v>
      </c>
      <c r="C202" s="2">
        <v>1298</v>
      </c>
      <c r="D202" s="10">
        <v>14</v>
      </c>
      <c r="E202" s="10">
        <v>15</v>
      </c>
      <c r="F202" s="9">
        <v>158</v>
      </c>
      <c r="G202" s="9">
        <v>47</v>
      </c>
      <c r="H202" s="7">
        <v>20</v>
      </c>
      <c r="I202" s="9">
        <v>21</v>
      </c>
      <c r="J202" s="7">
        <v>11</v>
      </c>
      <c r="K202" s="9">
        <v>32</v>
      </c>
      <c r="L202" s="9">
        <v>30</v>
      </c>
      <c r="N202" s="7">
        <v>16</v>
      </c>
      <c r="O202" s="8">
        <f t="shared" si="30"/>
        <v>150</v>
      </c>
      <c r="P202" s="1">
        <f t="shared" si="31"/>
        <v>960</v>
      </c>
      <c r="Q202" s="1">
        <f t="shared" si="32"/>
        <v>763</v>
      </c>
      <c r="R202" s="2">
        <f t="shared" si="33"/>
        <v>475</v>
      </c>
      <c r="S202" s="1">
        <f t="shared" si="34"/>
        <v>337.48</v>
      </c>
      <c r="T202" s="1">
        <f t="shared" si="35"/>
        <v>329.94</v>
      </c>
      <c r="U202" s="22">
        <f t="shared" si="36"/>
        <v>0.62254259501965925</v>
      </c>
      <c r="V202" s="22">
        <f t="shared" si="37"/>
        <v>0.97765793528505396</v>
      </c>
      <c r="W202" s="22">
        <f t="shared" si="38"/>
        <v>0.71048421052631583</v>
      </c>
      <c r="X202" s="1">
        <f t="shared" si="39"/>
        <v>0.43242463958060295</v>
      </c>
      <c r="Z202" s="5"/>
      <c r="AA202" s="5"/>
      <c r="AB202" s="5"/>
      <c r="AC202" s="5"/>
    </row>
    <row r="203" spans="1:29" x14ac:dyDescent="0.3">
      <c r="A203" s="2">
        <v>202</v>
      </c>
      <c r="B203" s="2" t="s">
        <v>5</v>
      </c>
      <c r="C203" s="2">
        <v>1095</v>
      </c>
      <c r="D203" s="10">
        <v>13</v>
      </c>
      <c r="E203" s="10">
        <v>28</v>
      </c>
      <c r="F203" s="9">
        <v>182</v>
      </c>
      <c r="G203" s="9">
        <v>39</v>
      </c>
      <c r="H203" s="7">
        <v>19</v>
      </c>
      <c r="I203" s="9">
        <v>28</v>
      </c>
      <c r="J203" s="7">
        <v>7</v>
      </c>
      <c r="K203" s="9">
        <v>24</v>
      </c>
      <c r="L203" s="9">
        <v>29</v>
      </c>
      <c r="N203" s="7">
        <v>20</v>
      </c>
      <c r="O203" s="8">
        <f t="shared" si="30"/>
        <v>150</v>
      </c>
      <c r="P203" s="1">
        <f t="shared" si="31"/>
        <v>960</v>
      </c>
      <c r="Q203" s="1">
        <f t="shared" si="32"/>
        <v>764</v>
      </c>
      <c r="R203" s="2">
        <f t="shared" si="33"/>
        <v>462</v>
      </c>
      <c r="S203" s="1">
        <f t="shared" si="34"/>
        <v>284.7</v>
      </c>
      <c r="T203" s="1">
        <f t="shared" si="35"/>
        <v>274.04000000000002</v>
      </c>
      <c r="U203" s="22">
        <f t="shared" si="36"/>
        <v>0.60471204188481675</v>
      </c>
      <c r="V203" s="22">
        <f t="shared" si="37"/>
        <v>0.96255707762557075</v>
      </c>
      <c r="W203" s="22">
        <f t="shared" si="38"/>
        <v>0.61623376623376624</v>
      </c>
      <c r="X203" s="1">
        <f t="shared" si="39"/>
        <v>0.35869109947643979</v>
      </c>
      <c r="Z203" s="5"/>
      <c r="AA203" s="5"/>
      <c r="AB203" s="5"/>
      <c r="AC203" s="5"/>
    </row>
    <row r="204" spans="1:29" x14ac:dyDescent="0.3">
      <c r="A204" s="2">
        <v>203</v>
      </c>
      <c r="B204" s="2" t="s">
        <v>4</v>
      </c>
      <c r="C204" s="2">
        <v>1209</v>
      </c>
      <c r="D204" s="10">
        <v>18</v>
      </c>
      <c r="E204" s="10">
        <v>16</v>
      </c>
      <c r="F204" s="9">
        <v>162</v>
      </c>
      <c r="G204" s="9">
        <v>43</v>
      </c>
      <c r="H204" s="7">
        <v>19</v>
      </c>
      <c r="I204" s="9">
        <v>26</v>
      </c>
      <c r="J204" s="7">
        <v>10</v>
      </c>
      <c r="K204" s="9">
        <v>18</v>
      </c>
      <c r="L204" s="9">
        <v>31</v>
      </c>
      <c r="N204" s="7">
        <v>16</v>
      </c>
      <c r="O204" s="8">
        <f t="shared" si="30"/>
        <v>150</v>
      </c>
      <c r="P204" s="1">
        <f t="shared" si="31"/>
        <v>960</v>
      </c>
      <c r="Q204" s="1">
        <f t="shared" si="32"/>
        <v>765</v>
      </c>
      <c r="R204" s="2">
        <f t="shared" si="33"/>
        <v>485</v>
      </c>
      <c r="S204" s="1">
        <f t="shared" si="34"/>
        <v>314.34000000000003</v>
      </c>
      <c r="T204" s="1">
        <f t="shared" si="35"/>
        <v>305.5</v>
      </c>
      <c r="U204" s="22">
        <f t="shared" si="36"/>
        <v>0.63398692810457513</v>
      </c>
      <c r="V204" s="22">
        <f t="shared" si="37"/>
        <v>0.97187758478081054</v>
      </c>
      <c r="W204" s="22">
        <f t="shared" si="38"/>
        <v>0.6481237113402063</v>
      </c>
      <c r="X204" s="1">
        <f t="shared" si="39"/>
        <v>0.39934640522875819</v>
      </c>
      <c r="Z204" s="5"/>
      <c r="AA204" s="5"/>
      <c r="AB204" s="5"/>
      <c r="AC204" s="5"/>
    </row>
    <row r="205" spans="1:29" x14ac:dyDescent="0.3">
      <c r="A205" s="2">
        <v>204</v>
      </c>
      <c r="B205" s="2" t="s">
        <v>3</v>
      </c>
      <c r="C205" s="2">
        <v>1192</v>
      </c>
      <c r="D205" s="10">
        <v>19</v>
      </c>
      <c r="E205" s="10">
        <v>24</v>
      </c>
      <c r="F205" s="9">
        <v>153</v>
      </c>
      <c r="G205" s="9">
        <v>48</v>
      </c>
      <c r="H205" s="7">
        <v>20</v>
      </c>
      <c r="I205" s="9">
        <v>16</v>
      </c>
      <c r="J205" s="7">
        <v>6</v>
      </c>
      <c r="K205" s="9">
        <v>20</v>
      </c>
      <c r="L205" s="9">
        <v>27</v>
      </c>
      <c r="N205" s="7">
        <v>18</v>
      </c>
      <c r="O205" s="8">
        <f t="shared" si="30"/>
        <v>150</v>
      </c>
      <c r="P205" s="1">
        <f t="shared" si="31"/>
        <v>960</v>
      </c>
      <c r="Q205" s="1">
        <f t="shared" si="32"/>
        <v>766</v>
      </c>
      <c r="R205" s="2">
        <f t="shared" si="33"/>
        <v>502</v>
      </c>
      <c r="S205" s="1">
        <f t="shared" si="34"/>
        <v>309.92</v>
      </c>
      <c r="T205" s="1">
        <f t="shared" si="35"/>
        <v>298.74</v>
      </c>
      <c r="U205" s="22">
        <f t="shared" si="36"/>
        <v>0.65535248041775462</v>
      </c>
      <c r="V205" s="22">
        <f t="shared" si="37"/>
        <v>0.96392617449664431</v>
      </c>
      <c r="W205" s="22">
        <f t="shared" si="38"/>
        <v>0.6173705179282869</v>
      </c>
      <c r="X205" s="1">
        <f t="shared" si="39"/>
        <v>0.39000000000000007</v>
      </c>
      <c r="Z205" s="5"/>
      <c r="AA205" s="5"/>
      <c r="AB205" s="5"/>
      <c r="AC205" s="5"/>
    </row>
    <row r="206" spans="1:29" x14ac:dyDescent="0.3">
      <c r="A206" s="2">
        <v>205</v>
      </c>
      <c r="B206" s="2" t="s">
        <v>5</v>
      </c>
      <c r="C206" s="2">
        <v>1178</v>
      </c>
      <c r="D206" s="10">
        <v>27</v>
      </c>
      <c r="E206" s="10">
        <v>19</v>
      </c>
      <c r="F206" s="9">
        <v>188</v>
      </c>
      <c r="G206" s="9">
        <v>57</v>
      </c>
      <c r="H206" s="7">
        <v>19</v>
      </c>
      <c r="I206" s="9">
        <v>22</v>
      </c>
      <c r="J206" s="7">
        <v>8</v>
      </c>
      <c r="K206" s="9">
        <v>31</v>
      </c>
      <c r="L206" s="9">
        <v>33</v>
      </c>
      <c r="N206" s="7">
        <v>16</v>
      </c>
      <c r="O206" s="8">
        <f t="shared" si="30"/>
        <v>150</v>
      </c>
      <c r="P206" s="1">
        <f t="shared" si="31"/>
        <v>960</v>
      </c>
      <c r="Q206" s="1">
        <f t="shared" si="32"/>
        <v>767</v>
      </c>
      <c r="R206" s="2">
        <f t="shared" si="33"/>
        <v>436</v>
      </c>
      <c r="S206" s="1">
        <f t="shared" si="34"/>
        <v>306.28000000000003</v>
      </c>
      <c r="T206" s="1">
        <f t="shared" si="35"/>
        <v>294.32</v>
      </c>
      <c r="U206" s="22">
        <f t="shared" si="36"/>
        <v>0.56844850065189045</v>
      </c>
      <c r="V206" s="22">
        <f t="shared" si="37"/>
        <v>0.96095076400679114</v>
      </c>
      <c r="W206" s="22">
        <f t="shared" si="38"/>
        <v>0.70247706422018352</v>
      </c>
      <c r="X206" s="1">
        <f t="shared" si="39"/>
        <v>0.38372881355932204</v>
      </c>
      <c r="Z206" s="5"/>
      <c r="AA206" s="5"/>
      <c r="AB206" s="5"/>
      <c r="AC206" s="5"/>
    </row>
    <row r="207" spans="1:29" x14ac:dyDescent="0.3">
      <c r="A207" s="2">
        <v>206</v>
      </c>
      <c r="B207" s="2" t="s">
        <v>5</v>
      </c>
      <c r="C207" s="2">
        <v>1097</v>
      </c>
      <c r="D207" s="10">
        <v>28</v>
      </c>
      <c r="E207" s="10">
        <v>20</v>
      </c>
      <c r="F207" s="9">
        <v>133</v>
      </c>
      <c r="G207" s="9">
        <v>52</v>
      </c>
      <c r="H207" s="7">
        <v>18</v>
      </c>
      <c r="I207" s="9">
        <v>17</v>
      </c>
      <c r="J207" s="7">
        <v>11</v>
      </c>
      <c r="L207" s="9">
        <v>30</v>
      </c>
      <c r="N207" s="7">
        <v>14</v>
      </c>
      <c r="O207" s="8">
        <f t="shared" si="30"/>
        <v>150</v>
      </c>
      <c r="P207" s="1">
        <f t="shared" si="31"/>
        <v>960</v>
      </c>
      <c r="Q207" s="1">
        <f t="shared" si="32"/>
        <v>767</v>
      </c>
      <c r="R207" s="2">
        <f t="shared" si="33"/>
        <v>535</v>
      </c>
      <c r="S207" s="1">
        <f t="shared" si="34"/>
        <v>285.22000000000003</v>
      </c>
      <c r="T207" s="1">
        <f t="shared" si="35"/>
        <v>272.74</v>
      </c>
      <c r="U207" s="22">
        <f t="shared" si="36"/>
        <v>0.69752281616688394</v>
      </c>
      <c r="V207" s="22">
        <f t="shared" si="37"/>
        <v>0.95624430264357341</v>
      </c>
      <c r="W207" s="22">
        <f t="shared" si="38"/>
        <v>0.53312149532710285</v>
      </c>
      <c r="X207" s="1">
        <f t="shared" si="39"/>
        <v>0.35559322033898311</v>
      </c>
      <c r="Z207" s="5"/>
      <c r="AA207" s="5"/>
      <c r="AB207" s="5"/>
      <c r="AC207" s="5"/>
    </row>
    <row r="208" spans="1:29" x14ac:dyDescent="0.3">
      <c r="A208" s="2">
        <v>207</v>
      </c>
      <c r="B208" s="2" t="s">
        <v>4</v>
      </c>
      <c r="C208" s="2">
        <v>1159</v>
      </c>
      <c r="D208" s="10">
        <v>26</v>
      </c>
      <c r="E208" s="10">
        <v>40</v>
      </c>
      <c r="F208" s="9">
        <v>159</v>
      </c>
      <c r="G208" s="9">
        <v>50</v>
      </c>
      <c r="H208" s="7">
        <v>18</v>
      </c>
      <c r="I208" s="9">
        <v>13</v>
      </c>
      <c r="J208" s="7">
        <v>8</v>
      </c>
      <c r="K208" s="9">
        <v>21</v>
      </c>
      <c r="L208" s="9">
        <v>33</v>
      </c>
      <c r="N208" s="7">
        <v>16</v>
      </c>
      <c r="O208" s="8">
        <f t="shared" si="30"/>
        <v>150</v>
      </c>
      <c r="P208" s="1">
        <f t="shared" si="31"/>
        <v>960</v>
      </c>
      <c r="Q208" s="1">
        <f t="shared" si="32"/>
        <v>768</v>
      </c>
      <c r="R208" s="2">
        <f t="shared" si="33"/>
        <v>492</v>
      </c>
      <c r="S208" s="1">
        <f t="shared" si="34"/>
        <v>301.34000000000003</v>
      </c>
      <c r="T208" s="1">
        <f t="shared" si="35"/>
        <v>284.18</v>
      </c>
      <c r="U208" s="22">
        <f t="shared" si="36"/>
        <v>0.640625</v>
      </c>
      <c r="V208" s="22">
        <f t="shared" si="37"/>
        <v>0.9430543572044866</v>
      </c>
      <c r="W208" s="22">
        <f t="shared" si="38"/>
        <v>0.61247967479674803</v>
      </c>
      <c r="X208" s="1">
        <f t="shared" si="39"/>
        <v>0.37002604166666669</v>
      </c>
      <c r="Z208" s="5"/>
      <c r="AA208" s="5"/>
      <c r="AB208" s="5"/>
      <c r="AC208" s="5"/>
    </row>
    <row r="209" spans="1:29" x14ac:dyDescent="0.3">
      <c r="A209" s="2">
        <v>208</v>
      </c>
      <c r="B209" s="2" t="s">
        <v>3</v>
      </c>
      <c r="C209" s="2">
        <v>895</v>
      </c>
      <c r="D209" s="10">
        <v>12</v>
      </c>
      <c r="E209" s="10">
        <v>45</v>
      </c>
      <c r="F209" s="9">
        <v>163</v>
      </c>
      <c r="G209" s="9">
        <v>57</v>
      </c>
      <c r="H209" s="7">
        <v>16</v>
      </c>
      <c r="I209" s="9">
        <v>22</v>
      </c>
      <c r="J209" s="7">
        <v>7</v>
      </c>
      <c r="K209" s="9">
        <v>16</v>
      </c>
      <c r="L209" s="9">
        <v>32</v>
      </c>
      <c r="N209" s="7">
        <v>20</v>
      </c>
      <c r="O209" s="8">
        <f t="shared" si="30"/>
        <v>150</v>
      </c>
      <c r="P209" s="1">
        <f t="shared" si="31"/>
        <v>960</v>
      </c>
      <c r="Q209" s="1">
        <f t="shared" si="32"/>
        <v>767</v>
      </c>
      <c r="R209" s="2">
        <f t="shared" si="33"/>
        <v>477</v>
      </c>
      <c r="S209" s="1">
        <f t="shared" si="34"/>
        <v>232.70000000000002</v>
      </c>
      <c r="T209" s="1">
        <f t="shared" si="35"/>
        <v>217.88</v>
      </c>
      <c r="U209" s="22">
        <f t="shared" si="36"/>
        <v>0.62190352020860495</v>
      </c>
      <c r="V209" s="22">
        <f t="shared" si="37"/>
        <v>0.93631284916201118</v>
      </c>
      <c r="W209" s="22">
        <f t="shared" si="38"/>
        <v>0.48784067085953881</v>
      </c>
      <c r="X209" s="1">
        <f t="shared" si="39"/>
        <v>0.28406779661016951</v>
      </c>
      <c r="Z209" s="5"/>
      <c r="AA209" s="5"/>
      <c r="AB209" s="5"/>
      <c r="AC209" s="5"/>
    </row>
    <row r="210" spans="1:29" x14ac:dyDescent="0.3">
      <c r="A210" s="2">
        <v>209</v>
      </c>
      <c r="B210" s="2" t="s">
        <v>2</v>
      </c>
      <c r="C210" s="2">
        <v>1086</v>
      </c>
      <c r="D210" s="10">
        <v>12</v>
      </c>
      <c r="E210" s="10">
        <v>33</v>
      </c>
      <c r="F210" s="9">
        <v>145</v>
      </c>
      <c r="G210" s="9">
        <v>55</v>
      </c>
      <c r="H210" s="7">
        <v>19</v>
      </c>
      <c r="I210" s="9">
        <v>21</v>
      </c>
      <c r="J210" s="7">
        <v>6</v>
      </c>
      <c r="K210" s="9">
        <v>26</v>
      </c>
      <c r="L210" s="9">
        <v>27</v>
      </c>
      <c r="N210" s="7">
        <v>15</v>
      </c>
      <c r="O210" s="8">
        <f t="shared" si="30"/>
        <v>150</v>
      </c>
      <c r="P210" s="1">
        <f t="shared" si="31"/>
        <v>960</v>
      </c>
      <c r="Q210" s="1">
        <f t="shared" si="32"/>
        <v>770</v>
      </c>
      <c r="R210" s="2">
        <f t="shared" si="33"/>
        <v>496</v>
      </c>
      <c r="S210" s="1">
        <f t="shared" si="34"/>
        <v>282.36</v>
      </c>
      <c r="T210" s="1">
        <f t="shared" si="35"/>
        <v>270.66000000000003</v>
      </c>
      <c r="U210" s="22">
        <f t="shared" si="36"/>
        <v>0.64415584415584415</v>
      </c>
      <c r="V210" s="22">
        <f t="shared" si="37"/>
        <v>0.95856353591160226</v>
      </c>
      <c r="W210" s="22">
        <f t="shared" si="38"/>
        <v>0.56927419354838715</v>
      </c>
      <c r="X210" s="1">
        <f t="shared" si="39"/>
        <v>0.35150649350649354</v>
      </c>
      <c r="Z210" s="5"/>
      <c r="AA210" s="5"/>
      <c r="AB210" s="5"/>
      <c r="AC210" s="5"/>
    </row>
    <row r="211" spans="1:29" x14ac:dyDescent="0.3">
      <c r="A211" s="2">
        <v>210</v>
      </c>
      <c r="B211" s="2" t="s">
        <v>4</v>
      </c>
      <c r="C211" s="2">
        <v>1049</v>
      </c>
      <c r="D211" s="10">
        <v>10</v>
      </c>
      <c r="E211" s="10">
        <v>39</v>
      </c>
      <c r="F211" s="9">
        <v>151</v>
      </c>
      <c r="G211" s="9">
        <v>52</v>
      </c>
      <c r="H211" s="7">
        <v>19</v>
      </c>
      <c r="I211" s="9">
        <v>25</v>
      </c>
      <c r="J211" s="7">
        <v>11</v>
      </c>
      <c r="K211" s="9">
        <v>24</v>
      </c>
      <c r="L211" s="9">
        <v>33</v>
      </c>
      <c r="M211" s="7">
        <v>45</v>
      </c>
      <c r="N211" s="7">
        <v>14</v>
      </c>
      <c r="O211" s="8">
        <f t="shared" si="30"/>
        <v>150</v>
      </c>
      <c r="P211" s="1">
        <f t="shared" si="31"/>
        <v>960</v>
      </c>
      <c r="Q211" s="1">
        <f t="shared" si="32"/>
        <v>721</v>
      </c>
      <c r="R211" s="2">
        <f t="shared" si="33"/>
        <v>436</v>
      </c>
      <c r="S211" s="1">
        <f t="shared" si="34"/>
        <v>272.74</v>
      </c>
      <c r="T211" s="1">
        <f t="shared" si="35"/>
        <v>260</v>
      </c>
      <c r="U211" s="22">
        <f t="shared" si="36"/>
        <v>0.60471567267683768</v>
      </c>
      <c r="V211" s="22">
        <f t="shared" si="37"/>
        <v>0.95328884652049573</v>
      </c>
      <c r="W211" s="22">
        <f t="shared" si="38"/>
        <v>0.62555045871559634</v>
      </c>
      <c r="X211" s="1">
        <f t="shared" si="39"/>
        <v>0.36061026352288489</v>
      </c>
      <c r="Z211" s="5"/>
      <c r="AA211" s="5"/>
      <c r="AB211" s="5"/>
      <c r="AC211" s="5"/>
    </row>
    <row r="212" spans="1:29" x14ac:dyDescent="0.3">
      <c r="A212" s="2">
        <v>211</v>
      </c>
      <c r="B212" s="2" t="s">
        <v>3</v>
      </c>
      <c r="C212" s="2">
        <v>1197</v>
      </c>
      <c r="D212" s="10">
        <v>22</v>
      </c>
      <c r="E212" s="10">
        <v>6</v>
      </c>
      <c r="F212" s="9">
        <v>195</v>
      </c>
      <c r="G212" s="9">
        <v>46</v>
      </c>
      <c r="H212" s="7">
        <v>17</v>
      </c>
      <c r="I212" s="9">
        <v>25</v>
      </c>
      <c r="J212" s="7">
        <v>6</v>
      </c>
      <c r="K212" s="9">
        <v>34</v>
      </c>
      <c r="L212" s="9">
        <v>25</v>
      </c>
      <c r="N212" s="7">
        <v>19</v>
      </c>
      <c r="O212" s="8">
        <f t="shared" si="30"/>
        <v>150</v>
      </c>
      <c r="P212" s="1">
        <f t="shared" si="31"/>
        <v>960</v>
      </c>
      <c r="Q212" s="1">
        <f t="shared" si="32"/>
        <v>768</v>
      </c>
      <c r="R212" s="2">
        <f t="shared" si="33"/>
        <v>443</v>
      </c>
      <c r="S212" s="1">
        <f t="shared" si="34"/>
        <v>311.22000000000003</v>
      </c>
      <c r="T212" s="1">
        <f t="shared" si="35"/>
        <v>303.94</v>
      </c>
      <c r="U212" s="22">
        <f t="shared" si="36"/>
        <v>0.57682291666666663</v>
      </c>
      <c r="V212" s="22">
        <f t="shared" si="37"/>
        <v>0.97660818713450293</v>
      </c>
      <c r="W212" s="22">
        <f t="shared" si="38"/>
        <v>0.702528216704289</v>
      </c>
      <c r="X212" s="1">
        <f t="shared" si="39"/>
        <v>0.39575520833333333</v>
      </c>
      <c r="Z212" s="5"/>
      <c r="AA212" s="5"/>
      <c r="AB212" s="5"/>
      <c r="AC212" s="5"/>
    </row>
    <row r="213" spans="1:29" x14ac:dyDescent="0.3">
      <c r="A213" s="2">
        <v>212</v>
      </c>
      <c r="B213" s="2" t="s">
        <v>3</v>
      </c>
      <c r="C213" s="2">
        <v>1057</v>
      </c>
      <c r="D213" s="10">
        <v>11</v>
      </c>
      <c r="E213" s="10">
        <v>22</v>
      </c>
      <c r="F213" s="9">
        <v>174</v>
      </c>
      <c r="G213" s="9">
        <v>56</v>
      </c>
      <c r="H213" s="7">
        <v>16</v>
      </c>
      <c r="I213" s="9">
        <v>24</v>
      </c>
      <c r="J213" s="7">
        <v>8</v>
      </c>
      <c r="L213" s="9">
        <v>38</v>
      </c>
      <c r="N213" s="7">
        <v>15</v>
      </c>
      <c r="O213" s="8">
        <f t="shared" si="30"/>
        <v>150</v>
      </c>
      <c r="P213" s="1">
        <f t="shared" si="31"/>
        <v>960</v>
      </c>
      <c r="Q213" s="1">
        <f t="shared" si="32"/>
        <v>771</v>
      </c>
      <c r="R213" s="2">
        <f t="shared" si="33"/>
        <v>479</v>
      </c>
      <c r="S213" s="1">
        <f t="shared" si="34"/>
        <v>274.82</v>
      </c>
      <c r="T213" s="1">
        <f t="shared" si="35"/>
        <v>266.24</v>
      </c>
      <c r="U213" s="22">
        <f t="shared" si="36"/>
        <v>0.62127107652399483</v>
      </c>
      <c r="V213" s="22">
        <f t="shared" si="37"/>
        <v>0.96877956480605487</v>
      </c>
      <c r="W213" s="22">
        <f t="shared" si="38"/>
        <v>0.57373695198329855</v>
      </c>
      <c r="X213" s="1">
        <f t="shared" si="39"/>
        <v>0.34531776913099871</v>
      </c>
      <c r="Z213" s="5"/>
      <c r="AA213" s="5"/>
      <c r="AB213" s="5"/>
      <c r="AC213" s="5"/>
    </row>
    <row r="214" spans="1:29" x14ac:dyDescent="0.3">
      <c r="A214" s="2">
        <v>213</v>
      </c>
      <c r="B214" s="2" t="s">
        <v>5</v>
      </c>
      <c r="C214" s="2">
        <v>1080</v>
      </c>
      <c r="D214" s="10">
        <v>17</v>
      </c>
      <c r="E214" s="10">
        <v>40</v>
      </c>
      <c r="F214" s="9">
        <v>163</v>
      </c>
      <c r="G214" s="9">
        <v>51</v>
      </c>
      <c r="H214" s="7">
        <v>15</v>
      </c>
      <c r="I214" s="9">
        <v>18</v>
      </c>
      <c r="J214" s="7">
        <v>10</v>
      </c>
      <c r="K214" s="9">
        <v>28</v>
      </c>
      <c r="L214" s="9">
        <v>34</v>
      </c>
      <c r="N214" s="7">
        <v>18</v>
      </c>
      <c r="O214" s="8">
        <f t="shared" si="30"/>
        <v>150</v>
      </c>
      <c r="P214" s="1">
        <f t="shared" si="31"/>
        <v>960</v>
      </c>
      <c r="Q214" s="1">
        <f t="shared" si="32"/>
        <v>767</v>
      </c>
      <c r="R214" s="2">
        <f t="shared" si="33"/>
        <v>473</v>
      </c>
      <c r="S214" s="1">
        <f t="shared" si="34"/>
        <v>280.8</v>
      </c>
      <c r="T214" s="1">
        <f t="shared" si="35"/>
        <v>265.98</v>
      </c>
      <c r="U214" s="22">
        <f t="shared" si="36"/>
        <v>0.6166883963494133</v>
      </c>
      <c r="V214" s="22">
        <f t="shared" si="37"/>
        <v>0.94722222222222219</v>
      </c>
      <c r="W214" s="22">
        <f t="shared" si="38"/>
        <v>0.59365750528541228</v>
      </c>
      <c r="X214" s="1">
        <f t="shared" si="39"/>
        <v>0.34677966101694918</v>
      </c>
      <c r="Z214" s="5"/>
      <c r="AA214" s="5"/>
      <c r="AB214" s="5"/>
      <c r="AC214" s="5"/>
    </row>
    <row r="215" spans="1:29" x14ac:dyDescent="0.3">
      <c r="A215" s="2">
        <v>214</v>
      </c>
      <c r="B215" s="2" t="s">
        <v>4</v>
      </c>
      <c r="C215" s="2">
        <v>1076</v>
      </c>
      <c r="D215" s="10">
        <v>10</v>
      </c>
      <c r="E215" s="10">
        <v>33</v>
      </c>
      <c r="F215" s="9">
        <v>144</v>
      </c>
      <c r="G215" s="9">
        <v>55</v>
      </c>
      <c r="H215" s="7">
        <v>16</v>
      </c>
      <c r="I215" s="9">
        <v>18</v>
      </c>
      <c r="J215" s="7">
        <v>12</v>
      </c>
      <c r="K215" s="9">
        <v>37</v>
      </c>
      <c r="L215" s="9">
        <v>33</v>
      </c>
      <c r="N215" s="7">
        <v>14</v>
      </c>
      <c r="O215" s="8">
        <f t="shared" si="30"/>
        <v>150</v>
      </c>
      <c r="P215" s="1">
        <f t="shared" si="31"/>
        <v>960</v>
      </c>
      <c r="Q215" s="1">
        <f t="shared" si="32"/>
        <v>768</v>
      </c>
      <c r="R215" s="2">
        <f t="shared" si="33"/>
        <v>481</v>
      </c>
      <c r="S215" s="1">
        <f t="shared" si="34"/>
        <v>279.76</v>
      </c>
      <c r="T215" s="1">
        <f t="shared" si="35"/>
        <v>268.58</v>
      </c>
      <c r="U215" s="22">
        <f t="shared" si="36"/>
        <v>0.62630208333333337</v>
      </c>
      <c r="V215" s="22">
        <f t="shared" si="37"/>
        <v>0.96003717472118955</v>
      </c>
      <c r="W215" s="22">
        <f t="shared" si="38"/>
        <v>0.58162162162162157</v>
      </c>
      <c r="X215" s="1">
        <f t="shared" si="39"/>
        <v>0.34971354166666668</v>
      </c>
      <c r="Z215" s="5"/>
      <c r="AA215" s="5"/>
      <c r="AB215" s="5"/>
      <c r="AC215" s="5"/>
    </row>
    <row r="216" spans="1:29" x14ac:dyDescent="0.3">
      <c r="A216" s="2">
        <v>215</v>
      </c>
      <c r="B216" s="2" t="s">
        <v>3</v>
      </c>
      <c r="C216" s="2">
        <v>1174</v>
      </c>
      <c r="D216" s="10">
        <v>16</v>
      </c>
      <c r="E216" s="10">
        <v>28</v>
      </c>
      <c r="F216" s="9">
        <v>168</v>
      </c>
      <c r="G216" s="9">
        <v>47</v>
      </c>
      <c r="H216" s="7">
        <v>16</v>
      </c>
      <c r="I216" s="9">
        <v>26</v>
      </c>
      <c r="J216" s="7">
        <v>8</v>
      </c>
      <c r="K216" s="9">
        <v>38</v>
      </c>
      <c r="L216" s="9">
        <v>35</v>
      </c>
      <c r="N216" s="7">
        <v>17</v>
      </c>
      <c r="O216" s="8">
        <f t="shared" si="30"/>
        <v>150</v>
      </c>
      <c r="P216" s="1">
        <f t="shared" si="31"/>
        <v>960</v>
      </c>
      <c r="Q216" s="1">
        <f t="shared" si="32"/>
        <v>769</v>
      </c>
      <c r="R216" s="2">
        <f t="shared" si="33"/>
        <v>455</v>
      </c>
      <c r="S216" s="1">
        <f t="shared" si="34"/>
        <v>305.24</v>
      </c>
      <c r="T216" s="1">
        <f t="shared" si="35"/>
        <v>293.8</v>
      </c>
      <c r="U216" s="22">
        <f t="shared" si="36"/>
        <v>0.59167750325097535</v>
      </c>
      <c r="V216" s="22">
        <f t="shared" si="37"/>
        <v>0.96252129471890968</v>
      </c>
      <c r="W216" s="22">
        <f t="shared" si="38"/>
        <v>0.67085714285714293</v>
      </c>
      <c r="X216" s="1">
        <f t="shared" si="39"/>
        <v>0.3820546163849155</v>
      </c>
      <c r="Z216" s="5"/>
      <c r="AA216" s="5"/>
      <c r="AB216" s="5"/>
      <c r="AC216" s="5"/>
    </row>
    <row r="217" spans="1:29" x14ac:dyDescent="0.3">
      <c r="A217" s="2">
        <v>216</v>
      </c>
      <c r="B217" s="2" t="s">
        <v>2</v>
      </c>
      <c r="C217" s="2">
        <v>1021</v>
      </c>
      <c r="D217" s="10">
        <v>15</v>
      </c>
      <c r="E217" s="10">
        <v>35</v>
      </c>
      <c r="F217" s="9">
        <v>179</v>
      </c>
      <c r="G217" s="9">
        <v>59</v>
      </c>
      <c r="H217" s="7">
        <v>16</v>
      </c>
      <c r="I217" s="9">
        <v>28</v>
      </c>
      <c r="J217" s="7">
        <v>7</v>
      </c>
      <c r="K217" s="9">
        <v>22</v>
      </c>
      <c r="L217" s="9">
        <v>34</v>
      </c>
      <c r="N217" s="7">
        <v>14</v>
      </c>
      <c r="O217" s="8">
        <f t="shared" si="30"/>
        <v>150</v>
      </c>
      <c r="P217" s="1">
        <f t="shared" si="31"/>
        <v>960</v>
      </c>
      <c r="Q217" s="1">
        <f t="shared" si="32"/>
        <v>773</v>
      </c>
      <c r="R217" s="2">
        <f t="shared" si="33"/>
        <v>451</v>
      </c>
      <c r="S217" s="1">
        <f t="shared" si="34"/>
        <v>265.46000000000004</v>
      </c>
      <c r="T217" s="1">
        <f t="shared" si="35"/>
        <v>252.46</v>
      </c>
      <c r="U217" s="22">
        <f t="shared" si="36"/>
        <v>0.58344113842173351</v>
      </c>
      <c r="V217" s="22">
        <f t="shared" si="37"/>
        <v>0.95102840352595497</v>
      </c>
      <c r="W217" s="22">
        <f t="shared" si="38"/>
        <v>0.58860310421286044</v>
      </c>
      <c r="X217" s="1">
        <f t="shared" si="39"/>
        <v>0.32659767141009061</v>
      </c>
      <c r="Z217" s="5"/>
      <c r="AA217" s="5"/>
      <c r="AB217" s="5"/>
      <c r="AC217" s="5"/>
    </row>
    <row r="218" spans="1:29" x14ac:dyDescent="0.3">
      <c r="A218" s="2">
        <v>217</v>
      </c>
      <c r="B218" s="2" t="s">
        <v>4</v>
      </c>
      <c r="C218" s="2">
        <v>949</v>
      </c>
      <c r="D218" s="10">
        <v>20</v>
      </c>
      <c r="E218" s="10">
        <v>39</v>
      </c>
      <c r="F218" s="9">
        <v>166</v>
      </c>
      <c r="G218" s="9">
        <v>43</v>
      </c>
      <c r="H218" s="7">
        <v>17</v>
      </c>
      <c r="I218" s="9">
        <v>22</v>
      </c>
      <c r="J218" s="7">
        <v>10</v>
      </c>
      <c r="K218" s="9">
        <v>15</v>
      </c>
      <c r="L218" s="9">
        <v>27</v>
      </c>
      <c r="N218" s="7">
        <v>15</v>
      </c>
      <c r="O218" s="8">
        <f t="shared" si="30"/>
        <v>150</v>
      </c>
      <c r="P218" s="1">
        <f t="shared" si="31"/>
        <v>960</v>
      </c>
      <c r="Q218" s="1">
        <f t="shared" si="32"/>
        <v>768</v>
      </c>
      <c r="R218" s="2">
        <f t="shared" si="33"/>
        <v>495</v>
      </c>
      <c r="S218" s="1">
        <f t="shared" si="34"/>
        <v>246.74</v>
      </c>
      <c r="T218" s="1">
        <f t="shared" si="35"/>
        <v>231.4</v>
      </c>
      <c r="U218" s="22">
        <f t="shared" si="36"/>
        <v>0.64453125</v>
      </c>
      <c r="V218" s="22">
        <f t="shared" si="37"/>
        <v>0.93782929399367754</v>
      </c>
      <c r="W218" s="22">
        <f t="shared" si="38"/>
        <v>0.4984646464646465</v>
      </c>
      <c r="X218" s="1">
        <f t="shared" si="39"/>
        <v>0.30130208333333336</v>
      </c>
      <c r="Z218" s="5"/>
      <c r="AA218" s="5"/>
      <c r="AB218" s="5"/>
      <c r="AC218" s="5"/>
    </row>
    <row r="219" spans="1:29" x14ac:dyDescent="0.3">
      <c r="A219" s="2">
        <v>218</v>
      </c>
      <c r="B219" s="2" t="s">
        <v>3</v>
      </c>
      <c r="C219" s="2">
        <v>1219</v>
      </c>
      <c r="D219" s="10">
        <v>23</v>
      </c>
      <c r="E219" s="10">
        <v>37</v>
      </c>
      <c r="F219" s="9">
        <v>175</v>
      </c>
      <c r="G219" s="9">
        <v>60</v>
      </c>
      <c r="H219" s="7">
        <v>18</v>
      </c>
      <c r="I219" s="9">
        <v>17</v>
      </c>
      <c r="J219" s="7">
        <v>8</v>
      </c>
      <c r="K219" s="9">
        <v>17</v>
      </c>
      <c r="L219" s="9">
        <v>30</v>
      </c>
      <c r="N219" s="7">
        <v>16</v>
      </c>
      <c r="O219" s="8">
        <f t="shared" si="30"/>
        <v>150</v>
      </c>
      <c r="P219" s="1">
        <f t="shared" si="31"/>
        <v>960</v>
      </c>
      <c r="Q219" s="1">
        <f t="shared" si="32"/>
        <v>768</v>
      </c>
      <c r="R219" s="2">
        <f t="shared" si="33"/>
        <v>469</v>
      </c>
      <c r="S219" s="1">
        <f t="shared" si="34"/>
        <v>316.94</v>
      </c>
      <c r="T219" s="1">
        <f t="shared" si="35"/>
        <v>301.34000000000003</v>
      </c>
      <c r="U219" s="22">
        <f t="shared" si="36"/>
        <v>0.61067708333333337</v>
      </c>
      <c r="V219" s="22">
        <f t="shared" si="37"/>
        <v>0.95077932731747339</v>
      </c>
      <c r="W219" s="22">
        <f t="shared" si="38"/>
        <v>0.67577825159914706</v>
      </c>
      <c r="X219" s="1">
        <f t="shared" si="39"/>
        <v>0.39236979166666669</v>
      </c>
      <c r="Z219" s="5"/>
      <c r="AA219" s="5"/>
      <c r="AB219" s="5"/>
      <c r="AC219" s="5"/>
    </row>
    <row r="220" spans="1:29" x14ac:dyDescent="0.3">
      <c r="A220" s="2">
        <v>219</v>
      </c>
      <c r="B220" s="2" t="s">
        <v>5</v>
      </c>
      <c r="C220" s="2">
        <v>988</v>
      </c>
      <c r="D220" s="10">
        <v>28</v>
      </c>
      <c r="E220" s="10">
        <v>9</v>
      </c>
      <c r="F220" s="9">
        <v>166</v>
      </c>
      <c r="G220" s="9">
        <v>47</v>
      </c>
      <c r="H220" s="7">
        <v>17</v>
      </c>
      <c r="I220" s="9">
        <v>22</v>
      </c>
      <c r="J220" s="7">
        <v>5</v>
      </c>
      <c r="K220" s="9">
        <v>20</v>
      </c>
      <c r="L220" s="9">
        <v>28</v>
      </c>
      <c r="N220" s="7">
        <v>17</v>
      </c>
      <c r="O220" s="8">
        <f t="shared" si="30"/>
        <v>150</v>
      </c>
      <c r="P220" s="1">
        <f t="shared" si="31"/>
        <v>960</v>
      </c>
      <c r="Q220" s="1">
        <f t="shared" si="32"/>
        <v>771</v>
      </c>
      <c r="R220" s="2">
        <f t="shared" si="33"/>
        <v>488</v>
      </c>
      <c r="S220" s="1">
        <f t="shared" si="34"/>
        <v>256.88</v>
      </c>
      <c r="T220" s="1">
        <f t="shared" si="35"/>
        <v>247.26000000000002</v>
      </c>
      <c r="U220" s="22">
        <f t="shared" si="36"/>
        <v>0.63294422827496755</v>
      </c>
      <c r="V220" s="22">
        <f t="shared" si="37"/>
        <v>0.96255060728744934</v>
      </c>
      <c r="W220" s="22">
        <f t="shared" si="38"/>
        <v>0.52639344262295085</v>
      </c>
      <c r="X220" s="1">
        <f t="shared" si="39"/>
        <v>0.32070038910505833</v>
      </c>
      <c r="Z220" s="5"/>
      <c r="AA220" s="5"/>
      <c r="AB220" s="5"/>
      <c r="AC220" s="5"/>
    </row>
    <row r="221" spans="1:29" x14ac:dyDescent="0.3">
      <c r="A221" s="2">
        <v>220</v>
      </c>
      <c r="B221" s="2" t="s">
        <v>4</v>
      </c>
      <c r="C221" s="2">
        <v>1044</v>
      </c>
      <c r="D221" s="10">
        <v>12</v>
      </c>
      <c r="E221" s="10">
        <v>9</v>
      </c>
      <c r="F221" s="9">
        <v>159</v>
      </c>
      <c r="G221" s="9">
        <v>58</v>
      </c>
      <c r="H221" s="7">
        <v>17</v>
      </c>
      <c r="I221" s="9">
        <v>24</v>
      </c>
      <c r="J221" s="7">
        <v>6</v>
      </c>
      <c r="K221" s="9">
        <v>26</v>
      </c>
      <c r="L221" s="9">
        <v>33</v>
      </c>
      <c r="M221" s="7">
        <v>30</v>
      </c>
      <c r="N221" s="7">
        <v>14</v>
      </c>
      <c r="O221" s="8">
        <f t="shared" si="30"/>
        <v>150</v>
      </c>
      <c r="P221" s="1">
        <f t="shared" si="31"/>
        <v>960</v>
      </c>
      <c r="Q221" s="1">
        <f t="shared" si="32"/>
        <v>743</v>
      </c>
      <c r="R221" s="2">
        <f t="shared" si="33"/>
        <v>443</v>
      </c>
      <c r="S221" s="1">
        <f t="shared" si="34"/>
        <v>271.44</v>
      </c>
      <c r="T221" s="1">
        <f t="shared" si="35"/>
        <v>265.98</v>
      </c>
      <c r="U221" s="22">
        <f t="shared" si="36"/>
        <v>0.59623149394347241</v>
      </c>
      <c r="V221" s="22">
        <f t="shared" si="37"/>
        <v>0.97988505747126442</v>
      </c>
      <c r="W221" s="22">
        <f t="shared" si="38"/>
        <v>0.61273137697516933</v>
      </c>
      <c r="X221" s="1">
        <f t="shared" si="39"/>
        <v>0.35798115746971743</v>
      </c>
      <c r="Z221" s="5"/>
      <c r="AA221" s="5"/>
      <c r="AB221" s="5"/>
      <c r="AC221" s="5"/>
    </row>
    <row r="222" spans="1:29" x14ac:dyDescent="0.3">
      <c r="A222" s="2">
        <v>221</v>
      </c>
      <c r="B222" s="2" t="s">
        <v>3</v>
      </c>
      <c r="C222" s="2">
        <v>1174</v>
      </c>
      <c r="D222" s="10">
        <v>23</v>
      </c>
      <c r="E222" s="10">
        <v>10</v>
      </c>
      <c r="F222" s="9">
        <v>148</v>
      </c>
      <c r="G222" s="9">
        <v>56</v>
      </c>
      <c r="H222" s="7">
        <v>16</v>
      </c>
      <c r="I222" s="9">
        <v>21</v>
      </c>
      <c r="J222" s="7">
        <v>9</v>
      </c>
      <c r="K222" s="9">
        <v>17</v>
      </c>
      <c r="L222" s="9">
        <v>34</v>
      </c>
      <c r="N222" s="7">
        <v>15</v>
      </c>
      <c r="O222" s="8">
        <f t="shared" si="30"/>
        <v>150</v>
      </c>
      <c r="P222" s="1">
        <f t="shared" si="31"/>
        <v>960</v>
      </c>
      <c r="Q222" s="1">
        <f t="shared" si="32"/>
        <v>770</v>
      </c>
      <c r="R222" s="2">
        <f t="shared" si="33"/>
        <v>494</v>
      </c>
      <c r="S222" s="1">
        <f t="shared" si="34"/>
        <v>305.24</v>
      </c>
      <c r="T222" s="1">
        <f t="shared" si="35"/>
        <v>296.66000000000003</v>
      </c>
      <c r="U222" s="22">
        <f t="shared" si="36"/>
        <v>0.64155844155844155</v>
      </c>
      <c r="V222" s="22">
        <f t="shared" si="37"/>
        <v>0.97189097103918232</v>
      </c>
      <c r="W222" s="22">
        <f t="shared" si="38"/>
        <v>0.61789473684210527</v>
      </c>
      <c r="X222" s="1">
        <f t="shared" si="39"/>
        <v>0.38527272727272727</v>
      </c>
      <c r="Z222" s="5"/>
      <c r="AA222" s="5"/>
      <c r="AB222" s="5"/>
      <c r="AC222" s="5"/>
    </row>
    <row r="223" spans="1:29" x14ac:dyDescent="0.3">
      <c r="A223" s="2">
        <v>222</v>
      </c>
      <c r="B223" s="2" t="s">
        <v>2</v>
      </c>
      <c r="C223" s="2">
        <v>920</v>
      </c>
      <c r="D223" s="10">
        <v>26</v>
      </c>
      <c r="E223" s="10">
        <v>29</v>
      </c>
      <c r="F223" s="9">
        <v>158</v>
      </c>
      <c r="G223" s="9">
        <v>49</v>
      </c>
      <c r="H223" s="7">
        <v>18</v>
      </c>
      <c r="I223" s="9">
        <v>21</v>
      </c>
      <c r="J223" s="7">
        <v>7</v>
      </c>
      <c r="K223" s="9">
        <v>26</v>
      </c>
      <c r="L223" s="9">
        <v>30</v>
      </c>
      <c r="N223" s="7">
        <v>14</v>
      </c>
      <c r="O223" s="8">
        <f t="shared" si="30"/>
        <v>150</v>
      </c>
      <c r="P223" s="1">
        <f t="shared" si="31"/>
        <v>960</v>
      </c>
      <c r="Q223" s="1">
        <f t="shared" si="32"/>
        <v>771</v>
      </c>
      <c r="R223" s="2">
        <f t="shared" si="33"/>
        <v>487</v>
      </c>
      <c r="S223" s="1">
        <f t="shared" si="34"/>
        <v>239.20000000000002</v>
      </c>
      <c r="T223" s="1">
        <f t="shared" si="35"/>
        <v>224.9</v>
      </c>
      <c r="U223" s="22">
        <f t="shared" si="36"/>
        <v>0.63164721141374836</v>
      </c>
      <c r="V223" s="22">
        <f t="shared" si="37"/>
        <v>0.94021739130434778</v>
      </c>
      <c r="W223" s="22">
        <f t="shared" si="38"/>
        <v>0.491170431211499</v>
      </c>
      <c r="X223" s="1">
        <f t="shared" si="39"/>
        <v>0.29169909208819716</v>
      </c>
      <c r="Z223" s="5"/>
      <c r="AA223" s="5"/>
      <c r="AB223" s="5"/>
      <c r="AC223" s="5"/>
    </row>
    <row r="224" spans="1:29" x14ac:dyDescent="0.3">
      <c r="A224" s="2">
        <v>223</v>
      </c>
      <c r="B224" s="2" t="s">
        <v>5</v>
      </c>
      <c r="C224" s="2">
        <v>1076</v>
      </c>
      <c r="D224" s="10">
        <v>18</v>
      </c>
      <c r="E224" s="10">
        <v>47</v>
      </c>
      <c r="F224" s="9">
        <v>161</v>
      </c>
      <c r="G224" s="9">
        <v>49</v>
      </c>
      <c r="H224" s="7">
        <v>20</v>
      </c>
      <c r="I224" s="9">
        <v>24</v>
      </c>
      <c r="J224" s="7">
        <v>10</v>
      </c>
      <c r="K224" s="9">
        <v>30</v>
      </c>
      <c r="L224" s="9">
        <v>37</v>
      </c>
      <c r="N224" s="7">
        <v>17</v>
      </c>
      <c r="O224" s="8">
        <f t="shared" si="30"/>
        <v>150</v>
      </c>
      <c r="P224" s="1">
        <f t="shared" si="31"/>
        <v>960</v>
      </c>
      <c r="Q224" s="1">
        <f t="shared" si="32"/>
        <v>763</v>
      </c>
      <c r="R224" s="2">
        <f t="shared" si="33"/>
        <v>462</v>
      </c>
      <c r="S224" s="1">
        <f t="shared" si="34"/>
        <v>279.76</v>
      </c>
      <c r="T224" s="1">
        <f t="shared" si="35"/>
        <v>262.86</v>
      </c>
      <c r="U224" s="22">
        <f t="shared" si="36"/>
        <v>0.60550458715596334</v>
      </c>
      <c r="V224" s="22">
        <f t="shared" si="37"/>
        <v>0.93959107806691455</v>
      </c>
      <c r="W224" s="22">
        <f t="shared" si="38"/>
        <v>0.60554112554112549</v>
      </c>
      <c r="X224" s="1">
        <f t="shared" si="39"/>
        <v>0.34450851900393187</v>
      </c>
      <c r="Z224" s="5"/>
      <c r="AA224" s="5"/>
      <c r="AB224" s="5"/>
      <c r="AC224" s="5"/>
    </row>
    <row r="225" spans="1:29" x14ac:dyDescent="0.3">
      <c r="A225" s="2">
        <v>224</v>
      </c>
      <c r="B225" s="2" t="s">
        <v>2</v>
      </c>
      <c r="C225" s="2">
        <v>1107</v>
      </c>
      <c r="D225" s="10">
        <v>24</v>
      </c>
      <c r="E225" s="10">
        <v>21</v>
      </c>
      <c r="F225" s="9">
        <v>173</v>
      </c>
      <c r="G225" s="9">
        <v>52</v>
      </c>
      <c r="H225" s="7">
        <v>20</v>
      </c>
      <c r="I225" s="9">
        <v>26</v>
      </c>
      <c r="J225" s="7">
        <v>13</v>
      </c>
      <c r="K225" s="9">
        <v>24</v>
      </c>
      <c r="L225" s="9">
        <v>33</v>
      </c>
      <c r="N225" s="7">
        <v>18</v>
      </c>
      <c r="O225" s="8">
        <f t="shared" si="30"/>
        <v>150</v>
      </c>
      <c r="P225" s="1">
        <f t="shared" si="31"/>
        <v>960</v>
      </c>
      <c r="Q225" s="1">
        <f t="shared" si="32"/>
        <v>759</v>
      </c>
      <c r="R225" s="2">
        <f t="shared" si="33"/>
        <v>451</v>
      </c>
      <c r="S225" s="1">
        <f t="shared" si="34"/>
        <v>287.82</v>
      </c>
      <c r="T225" s="1">
        <f t="shared" si="35"/>
        <v>276.12</v>
      </c>
      <c r="U225" s="22">
        <f t="shared" si="36"/>
        <v>0.59420289855072461</v>
      </c>
      <c r="V225" s="22">
        <f t="shared" si="37"/>
        <v>0.95934959349593496</v>
      </c>
      <c r="W225" s="22">
        <f t="shared" si="38"/>
        <v>0.63818181818181818</v>
      </c>
      <c r="X225" s="1">
        <f t="shared" si="39"/>
        <v>0.36379446640316204</v>
      </c>
      <c r="Z225" s="5"/>
      <c r="AA225" s="5"/>
      <c r="AB225" s="5"/>
      <c r="AC225" s="5"/>
    </row>
    <row r="226" spans="1:29" x14ac:dyDescent="0.3">
      <c r="A226" s="2">
        <v>225</v>
      </c>
      <c r="B226" s="2" t="s">
        <v>3</v>
      </c>
      <c r="C226" s="2">
        <v>967</v>
      </c>
      <c r="D226" s="10">
        <v>13</v>
      </c>
      <c r="E226" s="10">
        <v>27</v>
      </c>
      <c r="F226" s="9">
        <v>140</v>
      </c>
      <c r="G226" s="9">
        <v>45</v>
      </c>
      <c r="H226" s="7">
        <v>17</v>
      </c>
      <c r="I226" s="9">
        <v>22</v>
      </c>
      <c r="J226" s="7">
        <v>8</v>
      </c>
      <c r="K226" s="9">
        <v>28</v>
      </c>
      <c r="L226" s="9">
        <v>37</v>
      </c>
      <c r="N226" s="7">
        <v>15</v>
      </c>
      <c r="O226" s="8">
        <f t="shared" si="30"/>
        <v>150</v>
      </c>
      <c r="P226" s="1">
        <f t="shared" si="31"/>
        <v>960</v>
      </c>
      <c r="Q226" s="1">
        <f t="shared" si="32"/>
        <v>770</v>
      </c>
      <c r="R226" s="2">
        <f t="shared" si="33"/>
        <v>498</v>
      </c>
      <c r="S226" s="1">
        <f t="shared" si="34"/>
        <v>251.42000000000002</v>
      </c>
      <c r="T226" s="1">
        <f t="shared" si="35"/>
        <v>241.02</v>
      </c>
      <c r="U226" s="22">
        <f t="shared" si="36"/>
        <v>0.64675324675324675</v>
      </c>
      <c r="V226" s="22">
        <f t="shared" si="37"/>
        <v>0.95863495346432259</v>
      </c>
      <c r="W226" s="22">
        <f t="shared" si="38"/>
        <v>0.50485943775100406</v>
      </c>
      <c r="X226" s="1">
        <f t="shared" si="39"/>
        <v>0.31301298701298702</v>
      </c>
      <c r="Z226" s="5"/>
      <c r="AA226" s="5"/>
      <c r="AB226" s="5"/>
      <c r="AC226" s="5"/>
    </row>
    <row r="227" spans="1:29" x14ac:dyDescent="0.3">
      <c r="A227" s="2">
        <v>226</v>
      </c>
      <c r="B227" s="2" t="s">
        <v>3</v>
      </c>
      <c r="C227" s="2">
        <v>1121</v>
      </c>
      <c r="D227" s="10">
        <v>14</v>
      </c>
      <c r="E227" s="10">
        <v>8</v>
      </c>
      <c r="F227" s="9">
        <v>169</v>
      </c>
      <c r="G227" s="9">
        <v>57</v>
      </c>
      <c r="H227" s="7">
        <v>19</v>
      </c>
      <c r="I227" s="9">
        <v>16</v>
      </c>
      <c r="J227" s="7">
        <v>7</v>
      </c>
      <c r="L227" s="9">
        <v>30</v>
      </c>
      <c r="N227" s="7">
        <v>14</v>
      </c>
      <c r="O227" s="8">
        <f t="shared" si="30"/>
        <v>150</v>
      </c>
      <c r="P227" s="1">
        <f t="shared" si="31"/>
        <v>960</v>
      </c>
      <c r="Q227" s="1">
        <f t="shared" si="32"/>
        <v>770</v>
      </c>
      <c r="R227" s="2">
        <f t="shared" si="33"/>
        <v>498</v>
      </c>
      <c r="S227" s="1">
        <f t="shared" si="34"/>
        <v>291.46000000000004</v>
      </c>
      <c r="T227" s="1">
        <f t="shared" si="35"/>
        <v>285.74</v>
      </c>
      <c r="U227" s="22">
        <f t="shared" si="36"/>
        <v>0.64675324675324675</v>
      </c>
      <c r="V227" s="22">
        <f t="shared" si="37"/>
        <v>0.98037466547725249</v>
      </c>
      <c r="W227" s="22">
        <f t="shared" si="38"/>
        <v>0.58526104417670688</v>
      </c>
      <c r="X227" s="1">
        <f t="shared" si="39"/>
        <v>0.37109090909090914</v>
      </c>
      <c r="Z227" s="5"/>
      <c r="AA227" s="5"/>
      <c r="AB227" s="5"/>
      <c r="AC227" s="5"/>
    </row>
    <row r="228" spans="1:29" x14ac:dyDescent="0.3">
      <c r="A228" s="2">
        <v>227</v>
      </c>
      <c r="B228" s="2" t="s">
        <v>5</v>
      </c>
      <c r="C228" s="2">
        <v>1026</v>
      </c>
      <c r="D228" s="10">
        <v>26</v>
      </c>
      <c r="E228" s="10">
        <v>14</v>
      </c>
      <c r="F228" s="9">
        <v>168</v>
      </c>
      <c r="G228" s="9">
        <v>57</v>
      </c>
      <c r="H228" s="7">
        <v>20</v>
      </c>
      <c r="I228" s="9">
        <v>21</v>
      </c>
      <c r="J228" s="7">
        <v>8</v>
      </c>
      <c r="K228" s="9">
        <v>22</v>
      </c>
      <c r="L228" s="9">
        <v>26</v>
      </c>
      <c r="N228" s="7">
        <v>14</v>
      </c>
      <c r="O228" s="8">
        <f t="shared" si="30"/>
        <v>150</v>
      </c>
      <c r="P228" s="1">
        <f t="shared" si="31"/>
        <v>960</v>
      </c>
      <c r="Q228" s="1">
        <f t="shared" si="32"/>
        <v>768</v>
      </c>
      <c r="R228" s="2">
        <f t="shared" si="33"/>
        <v>474</v>
      </c>
      <c r="S228" s="1">
        <f t="shared" si="34"/>
        <v>266.76</v>
      </c>
      <c r="T228" s="1">
        <f t="shared" si="35"/>
        <v>256.36</v>
      </c>
      <c r="U228" s="22">
        <f t="shared" si="36"/>
        <v>0.6171875</v>
      </c>
      <c r="V228" s="22">
        <f t="shared" si="37"/>
        <v>0.96101364522417154</v>
      </c>
      <c r="W228" s="22">
        <f t="shared" si="38"/>
        <v>0.56278481012658221</v>
      </c>
      <c r="X228" s="1">
        <f t="shared" si="39"/>
        <v>0.33380208333333328</v>
      </c>
      <c r="Z228" s="5"/>
      <c r="AA228" s="5"/>
      <c r="AB228" s="5"/>
      <c r="AC228" s="5"/>
    </row>
    <row r="229" spans="1:29" x14ac:dyDescent="0.3">
      <c r="A229" s="2">
        <v>228</v>
      </c>
      <c r="B229" s="2" t="s">
        <v>2</v>
      </c>
      <c r="C229" s="2">
        <v>1062</v>
      </c>
      <c r="D229" s="10">
        <v>10</v>
      </c>
      <c r="E229" s="10">
        <v>18</v>
      </c>
      <c r="F229" s="9">
        <v>190</v>
      </c>
      <c r="G229" s="9">
        <v>57</v>
      </c>
      <c r="H229" s="7">
        <v>18</v>
      </c>
      <c r="I229" s="9">
        <v>22</v>
      </c>
      <c r="J229" s="7">
        <v>12</v>
      </c>
      <c r="K229" s="9">
        <v>20</v>
      </c>
      <c r="L229" s="9">
        <v>31</v>
      </c>
      <c r="N229" s="7">
        <v>16</v>
      </c>
      <c r="O229" s="8">
        <f t="shared" si="30"/>
        <v>150</v>
      </c>
      <c r="P229" s="1">
        <f t="shared" si="31"/>
        <v>960</v>
      </c>
      <c r="Q229" s="1">
        <f t="shared" si="32"/>
        <v>764</v>
      </c>
      <c r="R229" s="2">
        <f t="shared" si="33"/>
        <v>444</v>
      </c>
      <c r="S229" s="1">
        <f t="shared" si="34"/>
        <v>276.12</v>
      </c>
      <c r="T229" s="1">
        <f t="shared" si="35"/>
        <v>268.84000000000003</v>
      </c>
      <c r="U229" s="22">
        <f t="shared" si="36"/>
        <v>0.58115183246073299</v>
      </c>
      <c r="V229" s="22">
        <f t="shared" si="37"/>
        <v>0.97363465160075324</v>
      </c>
      <c r="W229" s="22">
        <f t="shared" si="38"/>
        <v>0.62189189189189187</v>
      </c>
      <c r="X229" s="1">
        <f t="shared" si="39"/>
        <v>0.35188481675392669</v>
      </c>
      <c r="Z229" s="5"/>
      <c r="AA229" s="5"/>
      <c r="AB229" s="5"/>
      <c r="AC229" s="5"/>
    </row>
    <row r="230" spans="1:29" x14ac:dyDescent="0.3">
      <c r="A230" s="2">
        <v>229</v>
      </c>
      <c r="B230" s="2" t="s">
        <v>4</v>
      </c>
      <c r="C230" s="2">
        <v>1030</v>
      </c>
      <c r="D230" s="10">
        <v>17</v>
      </c>
      <c r="E230" s="10">
        <v>14</v>
      </c>
      <c r="F230" s="9">
        <v>136</v>
      </c>
      <c r="G230" s="9">
        <v>62</v>
      </c>
      <c r="H230" s="7">
        <v>17</v>
      </c>
      <c r="I230" s="9">
        <v>13</v>
      </c>
      <c r="J230" s="7">
        <v>11</v>
      </c>
      <c r="K230" s="9">
        <v>16</v>
      </c>
      <c r="L230" s="9">
        <v>34</v>
      </c>
      <c r="N230" s="7">
        <v>13</v>
      </c>
      <c r="O230" s="8">
        <f t="shared" si="30"/>
        <v>150</v>
      </c>
      <c r="P230" s="1">
        <f t="shared" si="31"/>
        <v>960</v>
      </c>
      <c r="Q230" s="1">
        <f t="shared" si="32"/>
        <v>769</v>
      </c>
      <c r="R230" s="2">
        <f t="shared" si="33"/>
        <v>508</v>
      </c>
      <c r="S230" s="1">
        <f t="shared" si="34"/>
        <v>267.8</v>
      </c>
      <c r="T230" s="1">
        <f t="shared" si="35"/>
        <v>259.74</v>
      </c>
      <c r="U230" s="22">
        <f t="shared" si="36"/>
        <v>0.66059817945383614</v>
      </c>
      <c r="V230" s="22">
        <f t="shared" si="37"/>
        <v>0.96990291262135919</v>
      </c>
      <c r="W230" s="22">
        <f t="shared" si="38"/>
        <v>0.52716535433070866</v>
      </c>
      <c r="X230" s="1">
        <f t="shared" si="39"/>
        <v>0.3377633289986996</v>
      </c>
      <c r="Z230" s="5"/>
      <c r="AA230" s="5"/>
      <c r="AB230" s="5"/>
      <c r="AC230" s="5"/>
    </row>
    <row r="231" spans="1:29" x14ac:dyDescent="0.3">
      <c r="A231" s="2">
        <v>230</v>
      </c>
      <c r="B231" s="2" t="s">
        <v>3</v>
      </c>
      <c r="C231" s="2">
        <v>1036</v>
      </c>
      <c r="D231" s="10">
        <v>20</v>
      </c>
      <c r="E231" s="10">
        <v>12</v>
      </c>
      <c r="F231" s="9">
        <v>181</v>
      </c>
      <c r="G231" s="9">
        <v>45</v>
      </c>
      <c r="H231" s="7">
        <v>19</v>
      </c>
      <c r="I231" s="9">
        <v>24</v>
      </c>
      <c r="J231" s="7">
        <v>9</v>
      </c>
      <c r="K231" s="9">
        <v>21</v>
      </c>
      <c r="L231" s="9">
        <v>29</v>
      </c>
      <c r="M231" s="7">
        <v>50</v>
      </c>
      <c r="N231" s="7">
        <v>15</v>
      </c>
      <c r="O231" s="8">
        <f t="shared" si="30"/>
        <v>150</v>
      </c>
      <c r="P231" s="1">
        <f t="shared" si="31"/>
        <v>960</v>
      </c>
      <c r="Q231" s="1">
        <f t="shared" si="32"/>
        <v>717</v>
      </c>
      <c r="R231" s="2">
        <f t="shared" si="33"/>
        <v>417</v>
      </c>
      <c r="S231" s="1">
        <f t="shared" si="34"/>
        <v>269.36</v>
      </c>
      <c r="T231" s="1">
        <f t="shared" si="35"/>
        <v>261.04000000000002</v>
      </c>
      <c r="U231" s="22">
        <f t="shared" si="36"/>
        <v>0.58158995815899583</v>
      </c>
      <c r="V231" s="22">
        <f t="shared" si="37"/>
        <v>0.96911196911196906</v>
      </c>
      <c r="W231" s="22">
        <f t="shared" si="38"/>
        <v>0.64594724220623501</v>
      </c>
      <c r="X231" s="1">
        <f t="shared" si="39"/>
        <v>0.36407252440725241</v>
      </c>
      <c r="Z231" s="5"/>
      <c r="AA231" s="5"/>
      <c r="AB231" s="5"/>
      <c r="AC231" s="5"/>
    </row>
    <row r="232" spans="1:29" x14ac:dyDescent="0.3">
      <c r="A232" s="2">
        <v>231</v>
      </c>
      <c r="B232" s="2" t="s">
        <v>3</v>
      </c>
      <c r="C232" s="2">
        <v>1073</v>
      </c>
      <c r="D232" s="10">
        <v>30</v>
      </c>
      <c r="E232" s="10">
        <v>19</v>
      </c>
      <c r="F232" s="9">
        <v>148</v>
      </c>
      <c r="G232" s="9">
        <v>55</v>
      </c>
      <c r="H232" s="7">
        <v>20</v>
      </c>
      <c r="I232" s="9">
        <v>23</v>
      </c>
      <c r="J232" s="7">
        <v>10</v>
      </c>
      <c r="L232" s="9">
        <v>30</v>
      </c>
      <c r="N232" s="7">
        <v>14</v>
      </c>
      <c r="O232" s="8">
        <f t="shared" si="30"/>
        <v>150</v>
      </c>
      <c r="P232" s="1">
        <f t="shared" si="31"/>
        <v>960</v>
      </c>
      <c r="Q232" s="1">
        <f t="shared" si="32"/>
        <v>766</v>
      </c>
      <c r="R232" s="2">
        <f t="shared" si="33"/>
        <v>510</v>
      </c>
      <c r="S232" s="1">
        <f t="shared" si="34"/>
        <v>278.98</v>
      </c>
      <c r="T232" s="1">
        <f t="shared" si="35"/>
        <v>266.24</v>
      </c>
      <c r="U232" s="22">
        <f t="shared" si="36"/>
        <v>0.66579634464751958</v>
      </c>
      <c r="V232" s="22">
        <f t="shared" si="37"/>
        <v>0.95433364398881637</v>
      </c>
      <c r="W232" s="22">
        <f t="shared" si="38"/>
        <v>0.5470196078431373</v>
      </c>
      <c r="X232" s="1">
        <f t="shared" si="39"/>
        <v>0.34757180156657969</v>
      </c>
      <c r="Z232" s="5"/>
      <c r="AA232" s="5"/>
      <c r="AB232" s="5"/>
      <c r="AC232" s="5"/>
    </row>
    <row r="233" spans="1:29" x14ac:dyDescent="0.3">
      <c r="A233" s="2">
        <v>232</v>
      </c>
      <c r="B233" s="2" t="s">
        <v>3</v>
      </c>
      <c r="C233" s="2">
        <v>1138</v>
      </c>
      <c r="D233" s="10">
        <v>16</v>
      </c>
      <c r="E233" s="10">
        <v>7</v>
      </c>
      <c r="F233" s="9">
        <v>144</v>
      </c>
      <c r="G233" s="9">
        <v>60</v>
      </c>
      <c r="H233" s="7">
        <v>20</v>
      </c>
      <c r="I233" s="9">
        <v>17</v>
      </c>
      <c r="J233" s="7">
        <v>8</v>
      </c>
      <c r="L233" s="9">
        <v>33</v>
      </c>
      <c r="N233" s="7">
        <v>19</v>
      </c>
      <c r="O233" s="8">
        <f t="shared" si="30"/>
        <v>150</v>
      </c>
      <c r="P233" s="1">
        <f t="shared" si="31"/>
        <v>960</v>
      </c>
      <c r="Q233" s="1">
        <f t="shared" si="32"/>
        <v>763</v>
      </c>
      <c r="R233" s="2">
        <f t="shared" si="33"/>
        <v>509</v>
      </c>
      <c r="S233" s="1">
        <f t="shared" si="34"/>
        <v>295.88</v>
      </c>
      <c r="T233" s="1">
        <f t="shared" si="35"/>
        <v>289.90000000000003</v>
      </c>
      <c r="U233" s="22">
        <f t="shared" si="36"/>
        <v>0.66710353866317174</v>
      </c>
      <c r="V233" s="22">
        <f t="shared" si="37"/>
        <v>0.97978910369068539</v>
      </c>
      <c r="W233" s="22">
        <f t="shared" si="38"/>
        <v>0.58129666011787817</v>
      </c>
      <c r="X233" s="1">
        <f t="shared" si="39"/>
        <v>0.3799475753604194</v>
      </c>
      <c r="Z233" s="5"/>
      <c r="AA233" s="5"/>
      <c r="AB233" s="5"/>
      <c r="AC233" s="5"/>
    </row>
    <row r="234" spans="1:29" x14ac:dyDescent="0.3">
      <c r="A234" s="2">
        <v>233</v>
      </c>
      <c r="B234" s="2" t="s">
        <v>2</v>
      </c>
      <c r="C234" s="2">
        <v>974</v>
      </c>
      <c r="D234" s="10">
        <v>26</v>
      </c>
      <c r="E234" s="10">
        <v>10</v>
      </c>
      <c r="F234" s="9">
        <v>177</v>
      </c>
      <c r="G234" s="9">
        <v>48</v>
      </c>
      <c r="H234" s="7">
        <v>15</v>
      </c>
      <c r="I234" s="9">
        <v>27</v>
      </c>
      <c r="J234" s="7">
        <v>8</v>
      </c>
      <c r="K234" s="9">
        <v>34</v>
      </c>
      <c r="L234" s="9">
        <v>35</v>
      </c>
      <c r="N234" s="7">
        <v>18</v>
      </c>
      <c r="O234" s="8">
        <f t="shared" si="30"/>
        <v>150</v>
      </c>
      <c r="P234" s="1">
        <f t="shared" si="31"/>
        <v>960</v>
      </c>
      <c r="Q234" s="1">
        <f t="shared" si="32"/>
        <v>769</v>
      </c>
      <c r="R234" s="2">
        <f t="shared" si="33"/>
        <v>448</v>
      </c>
      <c r="S234" s="1">
        <f t="shared" si="34"/>
        <v>253.24</v>
      </c>
      <c r="T234" s="1">
        <f t="shared" si="35"/>
        <v>243.88</v>
      </c>
      <c r="U234" s="22">
        <f t="shared" si="36"/>
        <v>0.5825747724317295</v>
      </c>
      <c r="V234" s="22">
        <f t="shared" si="37"/>
        <v>0.96303901437371664</v>
      </c>
      <c r="W234" s="22">
        <f t="shared" si="38"/>
        <v>0.56526785714285721</v>
      </c>
      <c r="X234" s="1">
        <f t="shared" si="39"/>
        <v>0.31713914174252278</v>
      </c>
      <c r="Z234" s="5"/>
      <c r="AA234" s="5"/>
      <c r="AB234" s="5"/>
      <c r="AC234" s="5"/>
    </row>
    <row r="235" spans="1:29" x14ac:dyDescent="0.3">
      <c r="A235" s="2">
        <v>234</v>
      </c>
      <c r="B235" s="2" t="s">
        <v>4</v>
      </c>
      <c r="C235" s="2">
        <v>878</v>
      </c>
      <c r="D235" s="10">
        <v>24</v>
      </c>
      <c r="E235" s="10">
        <v>15</v>
      </c>
      <c r="F235" s="9">
        <v>174</v>
      </c>
      <c r="G235" s="9">
        <v>45</v>
      </c>
      <c r="H235" s="7">
        <v>15</v>
      </c>
      <c r="I235" s="9">
        <v>21</v>
      </c>
      <c r="J235" s="7">
        <v>12</v>
      </c>
      <c r="K235" s="9">
        <v>33</v>
      </c>
      <c r="L235" s="9">
        <v>34</v>
      </c>
      <c r="N235" s="7">
        <v>17</v>
      </c>
      <c r="O235" s="8">
        <f t="shared" si="30"/>
        <v>150</v>
      </c>
      <c r="P235" s="1">
        <f t="shared" si="31"/>
        <v>960</v>
      </c>
      <c r="Q235" s="1">
        <f t="shared" si="32"/>
        <v>766</v>
      </c>
      <c r="R235" s="2">
        <f t="shared" si="33"/>
        <v>459</v>
      </c>
      <c r="S235" s="1">
        <f t="shared" si="34"/>
        <v>228.28</v>
      </c>
      <c r="T235" s="1">
        <f t="shared" si="35"/>
        <v>218.14000000000001</v>
      </c>
      <c r="U235" s="22">
        <f t="shared" si="36"/>
        <v>0.59921671018276768</v>
      </c>
      <c r="V235" s="22">
        <f t="shared" si="37"/>
        <v>0.95558086560364464</v>
      </c>
      <c r="W235" s="22">
        <f t="shared" si="38"/>
        <v>0.49734204793028325</v>
      </c>
      <c r="X235" s="1">
        <f t="shared" si="39"/>
        <v>0.2847780678851175</v>
      </c>
      <c r="Z235" s="5"/>
      <c r="AA235" s="5"/>
      <c r="AB235" s="5"/>
      <c r="AC235" s="5"/>
    </row>
    <row r="236" spans="1:29" x14ac:dyDescent="0.3">
      <c r="A236" s="2">
        <v>235</v>
      </c>
      <c r="B236" s="2" t="s">
        <v>3</v>
      </c>
      <c r="C236" s="2">
        <v>1057</v>
      </c>
      <c r="D236" s="10">
        <v>18</v>
      </c>
      <c r="E236" s="10">
        <v>24</v>
      </c>
      <c r="F236" s="9">
        <v>190</v>
      </c>
      <c r="G236" s="9">
        <v>51</v>
      </c>
      <c r="H236" s="7">
        <v>15</v>
      </c>
      <c r="I236" s="9">
        <v>15</v>
      </c>
      <c r="J236" s="7">
        <v>10</v>
      </c>
      <c r="K236" s="9">
        <v>27</v>
      </c>
      <c r="L236" s="9">
        <v>27</v>
      </c>
      <c r="N236" s="7">
        <v>15</v>
      </c>
      <c r="O236" s="8">
        <f t="shared" si="30"/>
        <v>150</v>
      </c>
      <c r="P236" s="1">
        <f t="shared" si="31"/>
        <v>960</v>
      </c>
      <c r="Q236" s="1">
        <f t="shared" si="32"/>
        <v>770</v>
      </c>
      <c r="R236" s="2">
        <f t="shared" si="33"/>
        <v>460</v>
      </c>
      <c r="S236" s="1">
        <f t="shared" si="34"/>
        <v>274.82</v>
      </c>
      <c r="T236" s="1">
        <f t="shared" si="35"/>
        <v>263.90000000000003</v>
      </c>
      <c r="U236" s="22">
        <f t="shared" si="36"/>
        <v>0.59740259740259738</v>
      </c>
      <c r="V236" s="22">
        <f t="shared" si="37"/>
        <v>0.96026490066225167</v>
      </c>
      <c r="W236" s="22">
        <f t="shared" si="38"/>
        <v>0.59743478260869565</v>
      </c>
      <c r="X236" s="1">
        <f t="shared" si="39"/>
        <v>0.34272727272727277</v>
      </c>
      <c r="Z236" s="5"/>
      <c r="AA236" s="5"/>
      <c r="AB236" s="5"/>
      <c r="AC236" s="5"/>
    </row>
    <row r="237" spans="1:29" x14ac:dyDescent="0.3">
      <c r="A237" s="2">
        <v>236</v>
      </c>
      <c r="B237" s="2" t="s">
        <v>5</v>
      </c>
      <c r="C237" s="2">
        <v>1012</v>
      </c>
      <c r="D237" s="10">
        <v>13</v>
      </c>
      <c r="E237" s="10">
        <v>25</v>
      </c>
      <c r="F237" s="9">
        <v>166</v>
      </c>
      <c r="G237" s="9">
        <v>49</v>
      </c>
      <c r="H237" s="7">
        <v>18</v>
      </c>
      <c r="I237" s="9">
        <v>27</v>
      </c>
      <c r="J237" s="7">
        <v>8</v>
      </c>
      <c r="K237" s="9">
        <v>15</v>
      </c>
      <c r="L237" s="9">
        <v>37</v>
      </c>
      <c r="N237" s="7">
        <v>19</v>
      </c>
      <c r="O237" s="8">
        <f t="shared" si="30"/>
        <v>150</v>
      </c>
      <c r="P237" s="1">
        <f t="shared" si="31"/>
        <v>960</v>
      </c>
      <c r="Q237" s="1">
        <f t="shared" si="32"/>
        <v>765</v>
      </c>
      <c r="R237" s="2">
        <f t="shared" si="33"/>
        <v>471</v>
      </c>
      <c r="S237" s="1">
        <f t="shared" si="34"/>
        <v>263.12</v>
      </c>
      <c r="T237" s="1">
        <f t="shared" si="35"/>
        <v>253.24</v>
      </c>
      <c r="U237" s="22">
        <f t="shared" si="36"/>
        <v>0.61568627450980395</v>
      </c>
      <c r="V237" s="22">
        <f t="shared" si="37"/>
        <v>0.96245059288537549</v>
      </c>
      <c r="W237" s="22">
        <f t="shared" si="38"/>
        <v>0.55864118895966031</v>
      </c>
      <c r="X237" s="1">
        <f t="shared" si="39"/>
        <v>0.3310326797385621</v>
      </c>
      <c r="Z237" s="5"/>
      <c r="AA237" s="5"/>
      <c r="AB237" s="5"/>
      <c r="AC237" s="5"/>
    </row>
    <row r="238" spans="1:29" x14ac:dyDescent="0.3">
      <c r="A238" s="2">
        <v>237</v>
      </c>
      <c r="B238" s="2" t="s">
        <v>4</v>
      </c>
      <c r="C238" s="2">
        <v>989</v>
      </c>
      <c r="D238" s="10">
        <v>10</v>
      </c>
      <c r="E238" s="10">
        <v>49</v>
      </c>
      <c r="F238" s="9">
        <v>182</v>
      </c>
      <c r="G238" s="9">
        <v>58</v>
      </c>
      <c r="H238" s="7">
        <v>20</v>
      </c>
      <c r="I238" s="9">
        <v>26</v>
      </c>
      <c r="J238" s="7">
        <v>9</v>
      </c>
      <c r="K238" s="9">
        <v>36</v>
      </c>
      <c r="L238" s="9">
        <v>33</v>
      </c>
      <c r="N238" s="7">
        <v>18</v>
      </c>
      <c r="O238" s="8">
        <f t="shared" si="30"/>
        <v>150</v>
      </c>
      <c r="P238" s="1">
        <f t="shared" si="31"/>
        <v>960</v>
      </c>
      <c r="Q238" s="1">
        <f t="shared" si="32"/>
        <v>763</v>
      </c>
      <c r="R238" s="2">
        <f t="shared" si="33"/>
        <v>428</v>
      </c>
      <c r="S238" s="1">
        <f t="shared" si="34"/>
        <v>257.14</v>
      </c>
      <c r="T238" s="1">
        <f t="shared" si="35"/>
        <v>241.8</v>
      </c>
      <c r="U238" s="22">
        <f t="shared" si="36"/>
        <v>0.56094364351245085</v>
      </c>
      <c r="V238" s="22">
        <f t="shared" si="37"/>
        <v>0.94034378159757326</v>
      </c>
      <c r="W238" s="22">
        <f t="shared" si="38"/>
        <v>0.60079439252336442</v>
      </c>
      <c r="X238" s="1">
        <f t="shared" si="39"/>
        <v>0.31690694626474436</v>
      </c>
      <c r="Z238" s="5"/>
      <c r="AA238" s="5"/>
      <c r="AB238" s="5"/>
      <c r="AC238" s="5"/>
    </row>
    <row r="239" spans="1:29" x14ac:dyDescent="0.3">
      <c r="A239" s="2">
        <v>238</v>
      </c>
      <c r="B239" s="2" t="s">
        <v>3</v>
      </c>
      <c r="C239" s="2">
        <v>918</v>
      </c>
      <c r="D239" s="10">
        <v>18</v>
      </c>
      <c r="E239" s="10">
        <v>9</v>
      </c>
      <c r="F239" s="9">
        <v>195</v>
      </c>
      <c r="G239" s="9">
        <v>44</v>
      </c>
      <c r="H239" s="7">
        <v>17</v>
      </c>
      <c r="I239" s="9">
        <v>12</v>
      </c>
      <c r="J239" s="7">
        <v>7</v>
      </c>
      <c r="K239" s="9">
        <v>20</v>
      </c>
      <c r="L239" s="9">
        <v>31</v>
      </c>
      <c r="N239" s="7">
        <v>16</v>
      </c>
      <c r="O239" s="8">
        <f t="shared" si="30"/>
        <v>150</v>
      </c>
      <c r="P239" s="1">
        <f t="shared" si="31"/>
        <v>960</v>
      </c>
      <c r="Q239" s="1">
        <f t="shared" si="32"/>
        <v>770</v>
      </c>
      <c r="R239" s="2">
        <f t="shared" si="33"/>
        <v>468</v>
      </c>
      <c r="S239" s="1">
        <f t="shared" si="34"/>
        <v>238.68</v>
      </c>
      <c r="T239" s="1">
        <f t="shared" si="35"/>
        <v>231.66</v>
      </c>
      <c r="U239" s="22">
        <f t="shared" si="36"/>
        <v>0.60779220779220777</v>
      </c>
      <c r="V239" s="22">
        <f t="shared" si="37"/>
        <v>0.97058823529411764</v>
      </c>
      <c r="W239" s="22">
        <f t="shared" si="38"/>
        <v>0.51</v>
      </c>
      <c r="X239" s="1">
        <f t="shared" si="39"/>
        <v>0.30085714285714288</v>
      </c>
      <c r="Z239" s="5"/>
      <c r="AA239" s="5"/>
      <c r="AB239" s="5"/>
      <c r="AC239" s="5"/>
    </row>
    <row r="240" spans="1:29" x14ac:dyDescent="0.3">
      <c r="A240" s="2">
        <v>239</v>
      </c>
      <c r="B240" s="2" t="s">
        <v>2</v>
      </c>
      <c r="C240" s="2">
        <v>1010</v>
      </c>
      <c r="D240" s="10">
        <v>19</v>
      </c>
      <c r="E240" s="10">
        <v>47</v>
      </c>
      <c r="F240" s="9">
        <v>156</v>
      </c>
      <c r="G240" s="9">
        <v>48</v>
      </c>
      <c r="H240" s="7">
        <v>15</v>
      </c>
      <c r="I240" s="9">
        <v>21</v>
      </c>
      <c r="J240" s="7">
        <v>11</v>
      </c>
      <c r="K240" s="9">
        <v>35</v>
      </c>
      <c r="L240" s="9">
        <v>34</v>
      </c>
      <c r="N240" s="7">
        <v>14</v>
      </c>
      <c r="O240" s="8">
        <f t="shared" si="30"/>
        <v>150</v>
      </c>
      <c r="P240" s="1">
        <f t="shared" si="31"/>
        <v>960</v>
      </c>
      <c r="Q240" s="1">
        <f t="shared" si="32"/>
        <v>770</v>
      </c>
      <c r="R240" s="2">
        <f t="shared" si="33"/>
        <v>476</v>
      </c>
      <c r="S240" s="1">
        <f t="shared" si="34"/>
        <v>262.60000000000002</v>
      </c>
      <c r="T240" s="1">
        <f t="shared" si="35"/>
        <v>245.44</v>
      </c>
      <c r="U240" s="22">
        <f t="shared" si="36"/>
        <v>0.61818181818181817</v>
      </c>
      <c r="V240" s="22">
        <f t="shared" si="37"/>
        <v>0.93465346534653471</v>
      </c>
      <c r="W240" s="22">
        <f t="shared" si="38"/>
        <v>0.5516806722689076</v>
      </c>
      <c r="X240" s="1">
        <f t="shared" si="39"/>
        <v>0.31875324675324679</v>
      </c>
      <c r="Z240" s="5"/>
      <c r="AA240" s="5"/>
      <c r="AB240" s="5"/>
      <c r="AC240" s="5"/>
    </row>
    <row r="241" spans="1:29" x14ac:dyDescent="0.3">
      <c r="A241" s="2">
        <v>240</v>
      </c>
      <c r="B241" s="2" t="s">
        <v>3</v>
      </c>
      <c r="C241" s="2">
        <v>854</v>
      </c>
      <c r="D241" s="10">
        <v>27</v>
      </c>
      <c r="E241" s="10">
        <v>12</v>
      </c>
      <c r="F241" s="9">
        <v>172</v>
      </c>
      <c r="G241" s="9">
        <v>46</v>
      </c>
      <c r="H241" s="7">
        <v>15</v>
      </c>
      <c r="I241" s="9">
        <v>24</v>
      </c>
      <c r="J241" s="7">
        <v>10</v>
      </c>
      <c r="K241" s="9">
        <v>33</v>
      </c>
      <c r="L241" s="9">
        <v>32</v>
      </c>
      <c r="M241" s="7">
        <v>50</v>
      </c>
      <c r="N241" s="7">
        <v>17</v>
      </c>
      <c r="O241" s="8">
        <f t="shared" si="30"/>
        <v>150</v>
      </c>
      <c r="P241" s="1">
        <f t="shared" si="31"/>
        <v>960</v>
      </c>
      <c r="Q241" s="1">
        <f t="shared" si="32"/>
        <v>718</v>
      </c>
      <c r="R241" s="2">
        <f t="shared" si="33"/>
        <v>411</v>
      </c>
      <c r="S241" s="1">
        <f t="shared" si="34"/>
        <v>222.04000000000002</v>
      </c>
      <c r="T241" s="1">
        <f t="shared" si="35"/>
        <v>211.9</v>
      </c>
      <c r="U241" s="22">
        <f t="shared" si="36"/>
        <v>0.57242339832869082</v>
      </c>
      <c r="V241" s="22">
        <f t="shared" si="37"/>
        <v>0.95433255269320838</v>
      </c>
      <c r="W241" s="22">
        <f t="shared" si="38"/>
        <v>0.54024330900243311</v>
      </c>
      <c r="X241" s="1">
        <f t="shared" si="39"/>
        <v>0.29512534818941499</v>
      </c>
      <c r="Z241" s="5"/>
      <c r="AA241" s="5"/>
      <c r="AB241" s="5"/>
      <c r="AC241" s="5"/>
    </row>
    <row r="242" spans="1:29" x14ac:dyDescent="0.3">
      <c r="A242" s="2">
        <v>241</v>
      </c>
      <c r="B242" s="2" t="s">
        <v>3</v>
      </c>
      <c r="C242" s="2">
        <v>996</v>
      </c>
      <c r="D242" s="10">
        <v>12</v>
      </c>
      <c r="E242" s="10">
        <v>47</v>
      </c>
      <c r="F242" s="9">
        <v>194</v>
      </c>
      <c r="G242" s="9">
        <v>47</v>
      </c>
      <c r="H242" s="7">
        <v>15</v>
      </c>
      <c r="I242" s="9">
        <v>24</v>
      </c>
      <c r="J242" s="7">
        <v>9</v>
      </c>
      <c r="L242" s="9">
        <v>36</v>
      </c>
      <c r="N242" s="7">
        <v>20</v>
      </c>
      <c r="O242" s="8">
        <f t="shared" si="30"/>
        <v>150</v>
      </c>
      <c r="P242" s="1">
        <f t="shared" si="31"/>
        <v>960</v>
      </c>
      <c r="Q242" s="1">
        <f t="shared" si="32"/>
        <v>766</v>
      </c>
      <c r="R242" s="2">
        <f t="shared" si="33"/>
        <v>465</v>
      </c>
      <c r="S242" s="1">
        <f t="shared" si="34"/>
        <v>258.96000000000004</v>
      </c>
      <c r="T242" s="1">
        <f t="shared" si="35"/>
        <v>243.62</v>
      </c>
      <c r="U242" s="22">
        <f t="shared" si="36"/>
        <v>0.60704960835509136</v>
      </c>
      <c r="V242" s="22">
        <f t="shared" si="37"/>
        <v>0.94076305220883538</v>
      </c>
      <c r="W242" s="22">
        <f t="shared" si="38"/>
        <v>0.55690322580645168</v>
      </c>
      <c r="X242" s="1">
        <f t="shared" si="39"/>
        <v>0.31804177545691908</v>
      </c>
      <c r="Z242" s="5"/>
      <c r="AA242" s="5"/>
      <c r="AB242" s="5"/>
      <c r="AC242" s="5"/>
    </row>
    <row r="243" spans="1:29" x14ac:dyDescent="0.3">
      <c r="A243" s="2">
        <v>242</v>
      </c>
      <c r="B243" s="2" t="s">
        <v>5</v>
      </c>
      <c r="C243" s="2">
        <v>989</v>
      </c>
      <c r="D243" s="10">
        <v>10</v>
      </c>
      <c r="E243" s="10">
        <v>33</v>
      </c>
      <c r="F243" s="9">
        <v>152</v>
      </c>
      <c r="G243" s="9">
        <v>48</v>
      </c>
      <c r="H243" s="7">
        <v>17</v>
      </c>
      <c r="I243" s="9">
        <v>14</v>
      </c>
      <c r="J243" s="7">
        <v>8</v>
      </c>
      <c r="K243" s="9">
        <v>33</v>
      </c>
      <c r="L243" s="9">
        <v>25</v>
      </c>
      <c r="N243" s="7">
        <v>19</v>
      </c>
      <c r="O243" s="8">
        <f t="shared" si="30"/>
        <v>150</v>
      </c>
      <c r="P243" s="1">
        <f t="shared" si="31"/>
        <v>960</v>
      </c>
      <c r="Q243" s="1">
        <f t="shared" si="32"/>
        <v>766</v>
      </c>
      <c r="R243" s="2">
        <f t="shared" si="33"/>
        <v>494</v>
      </c>
      <c r="S243" s="1">
        <f t="shared" si="34"/>
        <v>257.14</v>
      </c>
      <c r="T243" s="1">
        <f t="shared" si="35"/>
        <v>245.96</v>
      </c>
      <c r="U243" s="22">
        <f t="shared" si="36"/>
        <v>0.64490861618798956</v>
      </c>
      <c r="V243" s="22">
        <f t="shared" si="37"/>
        <v>0.95652173913043481</v>
      </c>
      <c r="W243" s="22">
        <f t="shared" si="38"/>
        <v>0.52052631578947361</v>
      </c>
      <c r="X243" s="1">
        <f t="shared" si="39"/>
        <v>0.3210966057441253</v>
      </c>
      <c r="Z243" s="5"/>
      <c r="AA243" s="5"/>
      <c r="AB243" s="5"/>
      <c r="AC243" s="5"/>
    </row>
    <row r="244" spans="1:29" x14ac:dyDescent="0.3">
      <c r="A244" s="2">
        <v>243</v>
      </c>
      <c r="B244" s="2" t="s">
        <v>2</v>
      </c>
      <c r="C244" s="2">
        <v>1091</v>
      </c>
      <c r="D244" s="10">
        <v>22</v>
      </c>
      <c r="E244" s="10">
        <v>19</v>
      </c>
      <c r="F244" s="9">
        <v>173</v>
      </c>
      <c r="G244" s="9">
        <v>64</v>
      </c>
      <c r="H244" s="7">
        <v>19</v>
      </c>
      <c r="I244" s="9">
        <v>22</v>
      </c>
      <c r="J244" s="7">
        <v>10</v>
      </c>
      <c r="K244" s="9">
        <v>39</v>
      </c>
      <c r="L244" s="9">
        <v>28</v>
      </c>
      <c r="N244" s="7">
        <v>18</v>
      </c>
      <c r="O244" s="8">
        <f t="shared" si="30"/>
        <v>150</v>
      </c>
      <c r="P244" s="1">
        <f t="shared" si="31"/>
        <v>960</v>
      </c>
      <c r="Q244" s="1">
        <f t="shared" si="32"/>
        <v>763</v>
      </c>
      <c r="R244" s="2">
        <f t="shared" si="33"/>
        <v>437</v>
      </c>
      <c r="S244" s="1">
        <f t="shared" si="34"/>
        <v>283.66000000000003</v>
      </c>
      <c r="T244" s="1">
        <f t="shared" si="35"/>
        <v>273</v>
      </c>
      <c r="U244" s="22">
        <f t="shared" si="36"/>
        <v>0.57273918741808649</v>
      </c>
      <c r="V244" s="22">
        <f t="shared" si="37"/>
        <v>0.96241979835013747</v>
      </c>
      <c r="W244" s="22">
        <f t="shared" si="38"/>
        <v>0.64910755148741428</v>
      </c>
      <c r="X244" s="1">
        <f t="shared" si="39"/>
        <v>0.3577981651376147</v>
      </c>
      <c r="Z244" s="5"/>
      <c r="AA244" s="5"/>
      <c r="AB244" s="5"/>
      <c r="AC244" s="5"/>
    </row>
    <row r="245" spans="1:29" x14ac:dyDescent="0.3">
      <c r="A245" s="2">
        <v>244</v>
      </c>
      <c r="B245" s="2" t="s">
        <v>3</v>
      </c>
      <c r="C245" s="2">
        <v>1125</v>
      </c>
      <c r="D245" s="10">
        <v>30</v>
      </c>
      <c r="E245" s="10">
        <v>15</v>
      </c>
      <c r="F245" s="9">
        <v>169</v>
      </c>
      <c r="G245" s="9">
        <v>49</v>
      </c>
      <c r="H245" s="7">
        <v>15</v>
      </c>
      <c r="I245" s="9">
        <v>26</v>
      </c>
      <c r="J245" s="7">
        <v>11</v>
      </c>
      <c r="K245" s="9">
        <v>30</v>
      </c>
      <c r="L245" s="9">
        <v>32</v>
      </c>
      <c r="N245" s="7">
        <v>14</v>
      </c>
      <c r="O245" s="8">
        <f t="shared" si="30"/>
        <v>150</v>
      </c>
      <c r="P245" s="1">
        <f t="shared" si="31"/>
        <v>960</v>
      </c>
      <c r="Q245" s="1">
        <f t="shared" si="32"/>
        <v>770</v>
      </c>
      <c r="R245" s="2">
        <f t="shared" si="33"/>
        <v>464</v>
      </c>
      <c r="S245" s="1">
        <f t="shared" si="34"/>
        <v>292.5</v>
      </c>
      <c r="T245" s="1">
        <f t="shared" si="35"/>
        <v>280.8</v>
      </c>
      <c r="U245" s="22">
        <f t="shared" si="36"/>
        <v>0.60259740259740258</v>
      </c>
      <c r="V245" s="22">
        <f t="shared" si="37"/>
        <v>0.96</v>
      </c>
      <c r="W245" s="22">
        <f t="shared" si="38"/>
        <v>0.63038793103448276</v>
      </c>
      <c r="X245" s="1">
        <f t="shared" si="39"/>
        <v>0.36467532467532471</v>
      </c>
      <c r="Z245" s="5"/>
      <c r="AA245" s="5"/>
      <c r="AB245" s="5"/>
      <c r="AC245" s="5"/>
    </row>
    <row r="246" spans="1:29" x14ac:dyDescent="0.3">
      <c r="A246" s="2">
        <v>245</v>
      </c>
      <c r="B246" s="2" t="s">
        <v>4</v>
      </c>
      <c r="C246" s="2">
        <v>1130</v>
      </c>
      <c r="D246" s="10">
        <v>25</v>
      </c>
      <c r="E246" s="10">
        <v>8</v>
      </c>
      <c r="F246" s="9">
        <v>161</v>
      </c>
      <c r="G246" s="9">
        <v>62</v>
      </c>
      <c r="H246" s="7">
        <v>20</v>
      </c>
      <c r="I246" s="9">
        <v>16</v>
      </c>
      <c r="J246" s="7">
        <v>5</v>
      </c>
      <c r="K246" s="9">
        <v>32</v>
      </c>
      <c r="L246" s="9">
        <v>32</v>
      </c>
      <c r="N246" s="7">
        <v>19</v>
      </c>
      <c r="O246" s="8">
        <f t="shared" si="30"/>
        <v>150</v>
      </c>
      <c r="P246" s="1">
        <f t="shared" si="31"/>
        <v>960</v>
      </c>
      <c r="Q246" s="1">
        <f t="shared" si="32"/>
        <v>766</v>
      </c>
      <c r="R246" s="2">
        <f t="shared" si="33"/>
        <v>463</v>
      </c>
      <c r="S246" s="1">
        <f t="shared" si="34"/>
        <v>293.8</v>
      </c>
      <c r="T246" s="1">
        <f t="shared" si="35"/>
        <v>285.22000000000003</v>
      </c>
      <c r="U246" s="22">
        <f t="shared" si="36"/>
        <v>0.6044386422976501</v>
      </c>
      <c r="V246" s="22">
        <f t="shared" si="37"/>
        <v>0.97079646017699117</v>
      </c>
      <c r="W246" s="22">
        <f t="shared" si="38"/>
        <v>0.63455723542116638</v>
      </c>
      <c r="X246" s="1">
        <f t="shared" si="39"/>
        <v>0.37234986945169712</v>
      </c>
      <c r="Z246" s="5"/>
      <c r="AA246" s="5"/>
      <c r="AB246" s="5"/>
      <c r="AC246" s="5"/>
    </row>
    <row r="247" spans="1:29" x14ac:dyDescent="0.3">
      <c r="A247" s="2">
        <v>246</v>
      </c>
      <c r="B247" s="2" t="s">
        <v>3</v>
      </c>
      <c r="C247" s="2">
        <v>992</v>
      </c>
      <c r="D247" s="10">
        <v>20</v>
      </c>
      <c r="E247" s="10">
        <v>40</v>
      </c>
      <c r="F247" s="9">
        <v>166</v>
      </c>
      <c r="G247" s="9">
        <v>49</v>
      </c>
      <c r="H247" s="7">
        <v>17</v>
      </c>
      <c r="I247" s="9">
        <v>17</v>
      </c>
      <c r="J247" s="7">
        <v>11</v>
      </c>
      <c r="K247" s="9">
        <v>33</v>
      </c>
      <c r="L247" s="9">
        <v>29</v>
      </c>
      <c r="N247" s="7">
        <v>17</v>
      </c>
      <c r="O247" s="8">
        <f t="shared" si="30"/>
        <v>150</v>
      </c>
      <c r="P247" s="1">
        <f t="shared" si="31"/>
        <v>960</v>
      </c>
      <c r="Q247" s="1">
        <f t="shared" si="32"/>
        <v>765</v>
      </c>
      <c r="R247" s="2">
        <f t="shared" si="33"/>
        <v>471</v>
      </c>
      <c r="S247" s="1">
        <f t="shared" si="34"/>
        <v>257.92</v>
      </c>
      <c r="T247" s="1">
        <f t="shared" si="35"/>
        <v>242.32000000000002</v>
      </c>
      <c r="U247" s="22">
        <f t="shared" si="36"/>
        <v>0.61568627450980395</v>
      </c>
      <c r="V247" s="22">
        <f t="shared" si="37"/>
        <v>0.93951612903225812</v>
      </c>
      <c r="W247" s="22">
        <f t="shared" si="38"/>
        <v>0.54760084925690022</v>
      </c>
      <c r="X247" s="1">
        <f t="shared" si="39"/>
        <v>0.31675816993464057</v>
      </c>
      <c r="Z247" s="5"/>
      <c r="AA247" s="5"/>
      <c r="AB247" s="5"/>
      <c r="AC247" s="5"/>
    </row>
    <row r="248" spans="1:29" x14ac:dyDescent="0.3">
      <c r="A248" s="2">
        <v>247</v>
      </c>
      <c r="B248" s="2" t="s">
        <v>5</v>
      </c>
      <c r="C248" s="2">
        <v>1112</v>
      </c>
      <c r="D248" s="10">
        <v>28</v>
      </c>
      <c r="E248" s="10">
        <v>34</v>
      </c>
      <c r="F248" s="9">
        <v>176</v>
      </c>
      <c r="G248" s="9">
        <v>60</v>
      </c>
      <c r="H248" s="7">
        <v>20</v>
      </c>
      <c r="I248" s="9">
        <v>18</v>
      </c>
      <c r="J248" s="7">
        <v>8</v>
      </c>
      <c r="K248" s="9">
        <v>37</v>
      </c>
      <c r="L248" s="9">
        <v>32</v>
      </c>
      <c r="N248" s="7">
        <v>16</v>
      </c>
      <c r="O248" s="8">
        <f t="shared" si="30"/>
        <v>150</v>
      </c>
      <c r="P248" s="1">
        <f t="shared" si="31"/>
        <v>960</v>
      </c>
      <c r="Q248" s="1">
        <f t="shared" si="32"/>
        <v>766</v>
      </c>
      <c r="R248" s="2">
        <f t="shared" si="33"/>
        <v>443</v>
      </c>
      <c r="S248" s="1">
        <f t="shared" si="34"/>
        <v>289.12</v>
      </c>
      <c r="T248" s="1">
        <f t="shared" si="35"/>
        <v>273</v>
      </c>
      <c r="U248" s="22">
        <f t="shared" si="36"/>
        <v>0.57832898172323755</v>
      </c>
      <c r="V248" s="22">
        <f t="shared" si="37"/>
        <v>0.94424460431654678</v>
      </c>
      <c r="W248" s="22">
        <f t="shared" si="38"/>
        <v>0.65264108352144468</v>
      </c>
      <c r="X248" s="1">
        <f t="shared" si="39"/>
        <v>0.35639686684073102</v>
      </c>
      <c r="Z248" s="5"/>
      <c r="AA248" s="5"/>
      <c r="AB248" s="5"/>
      <c r="AC248" s="5"/>
    </row>
    <row r="249" spans="1:29" x14ac:dyDescent="0.3">
      <c r="A249" s="2">
        <v>248</v>
      </c>
      <c r="B249" s="2" t="s">
        <v>3</v>
      </c>
      <c r="C249" s="2">
        <v>1114</v>
      </c>
      <c r="D249" s="10">
        <v>16</v>
      </c>
      <c r="E249" s="10">
        <v>33</v>
      </c>
      <c r="F249" s="9">
        <v>151</v>
      </c>
      <c r="G249" s="9">
        <v>46</v>
      </c>
      <c r="H249" s="7">
        <v>19</v>
      </c>
      <c r="I249" s="9">
        <v>21</v>
      </c>
      <c r="J249" s="7">
        <v>8</v>
      </c>
      <c r="K249" s="9">
        <v>33</v>
      </c>
      <c r="L249" s="9">
        <v>30</v>
      </c>
      <c r="N249" s="7">
        <v>12</v>
      </c>
      <c r="O249" s="8">
        <f t="shared" si="30"/>
        <v>150</v>
      </c>
      <c r="P249" s="1">
        <f t="shared" si="31"/>
        <v>960</v>
      </c>
      <c r="Q249" s="1">
        <f t="shared" si="32"/>
        <v>771</v>
      </c>
      <c r="R249" s="2">
        <f t="shared" si="33"/>
        <v>490</v>
      </c>
      <c r="S249" s="1">
        <f t="shared" si="34"/>
        <v>289.64</v>
      </c>
      <c r="T249" s="1">
        <f t="shared" si="35"/>
        <v>276.90000000000003</v>
      </c>
      <c r="U249" s="22">
        <f t="shared" si="36"/>
        <v>0.63553826199740593</v>
      </c>
      <c r="V249" s="22">
        <f t="shared" si="37"/>
        <v>0.95601436265709161</v>
      </c>
      <c r="W249" s="22">
        <f t="shared" si="38"/>
        <v>0.59110204081632656</v>
      </c>
      <c r="X249" s="1">
        <f t="shared" si="39"/>
        <v>0.35914396887159533</v>
      </c>
      <c r="Z249" s="5"/>
      <c r="AA249" s="5"/>
      <c r="AB249" s="5"/>
      <c r="AC249" s="5"/>
    </row>
    <row r="250" spans="1:29" x14ac:dyDescent="0.3">
      <c r="A250" s="2">
        <v>249</v>
      </c>
      <c r="B250" s="2" t="s">
        <v>5</v>
      </c>
      <c r="C250" s="2">
        <v>785</v>
      </c>
      <c r="D250" s="10">
        <v>23</v>
      </c>
      <c r="E250" s="10">
        <v>6</v>
      </c>
      <c r="F250" s="9">
        <v>149</v>
      </c>
      <c r="G250" s="9">
        <v>52</v>
      </c>
      <c r="H250" s="7">
        <v>18</v>
      </c>
      <c r="I250" s="9">
        <v>22</v>
      </c>
      <c r="J250" s="7">
        <v>12</v>
      </c>
      <c r="K250" s="9">
        <v>19</v>
      </c>
      <c r="L250" s="9">
        <v>35</v>
      </c>
      <c r="N250" s="7">
        <v>18</v>
      </c>
      <c r="O250" s="8">
        <f t="shared" si="30"/>
        <v>150</v>
      </c>
      <c r="P250" s="1">
        <f t="shared" si="31"/>
        <v>960</v>
      </c>
      <c r="Q250" s="1">
        <f t="shared" si="32"/>
        <v>762</v>
      </c>
      <c r="R250" s="2">
        <f t="shared" si="33"/>
        <v>485</v>
      </c>
      <c r="S250" s="1">
        <f t="shared" si="34"/>
        <v>204.1</v>
      </c>
      <c r="T250" s="1">
        <f t="shared" si="35"/>
        <v>196.56</v>
      </c>
      <c r="U250" s="22">
        <f t="shared" si="36"/>
        <v>0.63648293963254599</v>
      </c>
      <c r="V250" s="22">
        <f t="shared" si="37"/>
        <v>0.96305732484076434</v>
      </c>
      <c r="W250" s="22">
        <f t="shared" si="38"/>
        <v>0.42082474226804123</v>
      </c>
      <c r="X250" s="1">
        <f t="shared" si="39"/>
        <v>0.25795275590551181</v>
      </c>
      <c r="Z250" s="5"/>
      <c r="AA250" s="5"/>
      <c r="AB250" s="5"/>
      <c r="AC250" s="5"/>
    </row>
    <row r="251" spans="1:29" x14ac:dyDescent="0.3">
      <c r="A251" s="2">
        <v>250</v>
      </c>
      <c r="B251" s="2" t="s">
        <v>3</v>
      </c>
      <c r="C251" s="2">
        <v>1001</v>
      </c>
      <c r="D251" s="10">
        <v>11</v>
      </c>
      <c r="E251" s="10">
        <v>29</v>
      </c>
      <c r="F251" s="9">
        <v>139</v>
      </c>
      <c r="G251" s="9">
        <v>60</v>
      </c>
      <c r="H251" s="7">
        <v>19</v>
      </c>
      <c r="I251" s="9">
        <v>24</v>
      </c>
      <c r="J251" s="7">
        <v>11</v>
      </c>
      <c r="K251" s="9">
        <v>22</v>
      </c>
      <c r="L251" s="9">
        <v>31</v>
      </c>
      <c r="M251" s="7">
        <v>50</v>
      </c>
      <c r="N251" s="7">
        <v>16</v>
      </c>
      <c r="O251" s="8">
        <f t="shared" si="30"/>
        <v>150</v>
      </c>
      <c r="P251" s="1">
        <f t="shared" si="31"/>
        <v>960</v>
      </c>
      <c r="Q251" s="1">
        <f t="shared" si="32"/>
        <v>714</v>
      </c>
      <c r="R251" s="2">
        <f t="shared" si="33"/>
        <v>438</v>
      </c>
      <c r="S251" s="1">
        <f t="shared" si="34"/>
        <v>260.26</v>
      </c>
      <c r="T251" s="1">
        <f t="shared" si="35"/>
        <v>249.86</v>
      </c>
      <c r="U251" s="22">
        <f t="shared" si="36"/>
        <v>0.61344537815126055</v>
      </c>
      <c r="V251" s="22">
        <f t="shared" si="37"/>
        <v>0.96003996003996006</v>
      </c>
      <c r="W251" s="22">
        <f t="shared" si="38"/>
        <v>0.59420091324200908</v>
      </c>
      <c r="X251" s="1">
        <f>U251*V251*W251</f>
        <v>0.3499439775910364</v>
      </c>
      <c r="Z251" s="5"/>
      <c r="AA251" s="5"/>
      <c r="AB251" s="5"/>
    </row>
    <row r="252" spans="1:29" x14ac:dyDescent="0.3">
      <c r="R252" s="2"/>
      <c r="U252" s="22"/>
      <c r="V252" s="22"/>
      <c r="W252" s="22"/>
      <c r="Z252" s="5"/>
      <c r="AA252" s="5"/>
      <c r="AB252" s="5"/>
    </row>
    <row r="253" spans="1:29" x14ac:dyDescent="0.3">
      <c r="N253" s="7" t="s">
        <v>19</v>
      </c>
      <c r="O253" s="11">
        <f t="shared" ref="O253:T253" si="40">SUM(O2:O251)</f>
        <v>37500</v>
      </c>
      <c r="P253" s="12">
        <f t="shared" si="40"/>
        <v>240000</v>
      </c>
      <c r="Q253" s="12">
        <f t="shared" si="40"/>
        <v>190487</v>
      </c>
      <c r="R253" s="12">
        <f t="shared" si="40"/>
        <v>121802</v>
      </c>
      <c r="S253" s="12">
        <f t="shared" si="40"/>
        <v>91211.120000000054</v>
      </c>
      <c r="T253" s="12">
        <f t="shared" si="40"/>
        <v>88068.760000000038</v>
      </c>
      <c r="U253" s="24">
        <f>SUM(U2:U251)/250</f>
        <v>0.6388566086576305</v>
      </c>
      <c r="V253" s="24">
        <f>SUM(V2:V251)/250</f>
        <v>0.96448160080156442</v>
      </c>
      <c r="W253" s="23">
        <f>SUM(W2:W251)/250</f>
        <v>0.75365713120730338</v>
      </c>
      <c r="X253" s="24">
        <f>SUM(X2:X251)/250</f>
        <v>0.46279983969299243</v>
      </c>
    </row>
    <row r="256" spans="1:29" x14ac:dyDescent="0.3">
      <c r="R256" s="27"/>
      <c r="S256" s="28"/>
      <c r="T256" s="29"/>
    </row>
    <row r="257" spans="18:20" x14ac:dyDescent="0.3">
      <c r="R257" s="30"/>
      <c r="S257" s="31"/>
      <c r="T257" s="32"/>
    </row>
    <row r="258" spans="18:20" x14ac:dyDescent="0.3">
      <c r="R258" s="30"/>
      <c r="S258" s="31"/>
      <c r="T258" s="32"/>
    </row>
    <row r="259" spans="18:20" x14ac:dyDescent="0.3">
      <c r="R259" s="30"/>
      <c r="S259" s="31"/>
      <c r="T259" s="32"/>
    </row>
    <row r="260" spans="18:20" x14ac:dyDescent="0.3">
      <c r="R260" s="30"/>
      <c r="S260" s="31"/>
      <c r="T260" s="32"/>
    </row>
    <row r="261" spans="18:20" x14ac:dyDescent="0.3">
      <c r="R261" s="30"/>
      <c r="S261" s="31"/>
      <c r="T261" s="32"/>
    </row>
    <row r="262" spans="18:20" x14ac:dyDescent="0.3">
      <c r="R262" s="30"/>
      <c r="S262" s="31"/>
      <c r="T262" s="32"/>
    </row>
    <row r="263" spans="18:20" x14ac:dyDescent="0.3">
      <c r="R263" s="30"/>
      <c r="S263" s="31"/>
      <c r="T263" s="32"/>
    </row>
    <row r="264" spans="18:20" x14ac:dyDescent="0.3">
      <c r="R264" s="30"/>
      <c r="S264" s="31"/>
      <c r="T264" s="32"/>
    </row>
    <row r="265" spans="18:20" x14ac:dyDescent="0.3">
      <c r="R265" s="30"/>
      <c r="S265" s="31"/>
      <c r="T265" s="32"/>
    </row>
    <row r="266" spans="18:20" x14ac:dyDescent="0.3">
      <c r="R266" s="30"/>
      <c r="S266" s="31"/>
      <c r="T266" s="32"/>
    </row>
    <row r="267" spans="18:20" x14ac:dyDescent="0.3">
      <c r="R267" s="30"/>
      <c r="S267" s="31"/>
      <c r="T267" s="32"/>
    </row>
    <row r="268" spans="18:20" x14ac:dyDescent="0.3">
      <c r="R268" s="30"/>
      <c r="S268" s="31"/>
      <c r="T268" s="32"/>
    </row>
    <row r="269" spans="18:20" x14ac:dyDescent="0.3">
      <c r="R269" s="30"/>
      <c r="S269" s="31"/>
      <c r="T269" s="32"/>
    </row>
    <row r="270" spans="18:20" x14ac:dyDescent="0.3">
      <c r="R270" s="30"/>
      <c r="S270" s="31"/>
      <c r="T270" s="32"/>
    </row>
    <row r="271" spans="18:20" x14ac:dyDescent="0.3">
      <c r="R271" s="30"/>
      <c r="S271" s="31"/>
      <c r="T271" s="32"/>
    </row>
    <row r="272" spans="18:20" x14ac:dyDescent="0.3">
      <c r="R272" s="30"/>
      <c r="S272" s="31"/>
      <c r="T272" s="32"/>
    </row>
    <row r="273" spans="18:20" x14ac:dyDescent="0.3">
      <c r="R273" s="33"/>
      <c r="S273" s="34"/>
      <c r="T273" s="35"/>
    </row>
  </sheetData>
  <autoFilter ref="A1:X254" xr:uid="{00000000-0001-0000-0000-000000000000}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53"/>
  <sheetViews>
    <sheetView zoomScale="57" zoomScaleNormal="85" workbookViewId="0">
      <selection sqref="A1:X1"/>
    </sheetView>
  </sheetViews>
  <sheetFormatPr baseColWidth="10" defaultColWidth="11" defaultRowHeight="14.4" x14ac:dyDescent="0.3"/>
  <cols>
    <col min="1" max="1" width="19.5546875" style="2" customWidth="1"/>
    <col min="2" max="3" width="11" style="2"/>
    <col min="4" max="4" width="15.5546875" style="13" customWidth="1"/>
    <col min="5" max="5" width="12.88671875" style="13" customWidth="1"/>
    <col min="6" max="6" width="13.88671875" style="14" customWidth="1"/>
    <col min="7" max="7" width="14" style="14" customWidth="1"/>
    <col min="8" max="8" width="20.44140625" style="15" customWidth="1"/>
    <col min="9" max="9" width="23" style="14" customWidth="1"/>
    <col min="10" max="10" width="19.88671875" style="15" customWidth="1"/>
    <col min="11" max="11" width="20.5546875" style="14" customWidth="1"/>
    <col min="12" max="12" width="26.5546875" style="14" customWidth="1"/>
    <col min="13" max="13" width="22.88671875" style="15" customWidth="1"/>
    <col min="14" max="14" width="13.5546875" style="15" customWidth="1"/>
    <col min="15" max="15" width="11" style="16"/>
    <col min="16" max="16" width="11" style="1"/>
  </cols>
  <sheetData>
    <row r="1" spans="1:24" x14ac:dyDescent="0.3">
      <c r="A1" s="2" t="s">
        <v>28</v>
      </c>
      <c r="B1" s="2" t="s">
        <v>15</v>
      </c>
      <c r="C1" s="2" t="s">
        <v>27</v>
      </c>
      <c r="D1" s="10" t="s">
        <v>0</v>
      </c>
      <c r="E1" s="10" t="s">
        <v>6</v>
      </c>
      <c r="F1" s="9" t="s">
        <v>7</v>
      </c>
      <c r="G1" s="9" t="s">
        <v>8</v>
      </c>
      <c r="H1" s="7" t="s">
        <v>13</v>
      </c>
      <c r="I1" s="9" t="s">
        <v>9</v>
      </c>
      <c r="J1" s="7" t="s">
        <v>10</v>
      </c>
      <c r="K1" s="9" t="s">
        <v>11</v>
      </c>
      <c r="L1" s="9" t="s">
        <v>12</v>
      </c>
      <c r="M1" s="7" t="s">
        <v>14</v>
      </c>
      <c r="N1" s="7" t="s">
        <v>1</v>
      </c>
      <c r="O1" s="7" t="s">
        <v>16</v>
      </c>
      <c r="P1" s="17" t="s">
        <v>17</v>
      </c>
      <c r="Q1" s="17" t="s">
        <v>18</v>
      </c>
      <c r="R1" s="17" t="s">
        <v>20</v>
      </c>
      <c r="S1" s="17" t="s">
        <v>21</v>
      </c>
      <c r="T1" s="17" t="s">
        <v>22</v>
      </c>
      <c r="U1" s="17" t="s">
        <v>23</v>
      </c>
      <c r="V1" s="17" t="s">
        <v>24</v>
      </c>
      <c r="W1" s="17" t="s">
        <v>25</v>
      </c>
      <c r="X1" s="17" t="s">
        <v>26</v>
      </c>
    </row>
    <row r="2" spans="1:24" x14ac:dyDescent="0.3">
      <c r="A2" s="2">
        <v>1</v>
      </c>
      <c r="B2" s="2" t="s">
        <v>2</v>
      </c>
      <c r="C2" s="2">
        <f>Découpe!C2-Découpe!D2-Découpe!E2</f>
        <v>1809</v>
      </c>
      <c r="D2" s="13">
        <v>19</v>
      </c>
      <c r="E2" s="13">
        <v>40</v>
      </c>
      <c r="F2" s="14">
        <v>51</v>
      </c>
      <c r="G2" s="14">
        <v>8</v>
      </c>
      <c r="H2" s="15">
        <v>10</v>
      </c>
      <c r="I2" s="14">
        <v>10</v>
      </c>
      <c r="J2" s="15">
        <v>6</v>
      </c>
      <c r="K2" s="14">
        <v>32</v>
      </c>
      <c r="L2" s="14">
        <v>16</v>
      </c>
      <c r="N2" s="15">
        <v>20</v>
      </c>
      <c r="O2" s="16">
        <f>37500/250</f>
        <v>150</v>
      </c>
      <c r="P2" s="1">
        <f>4000*60/250</f>
        <v>960</v>
      </c>
      <c r="Q2">
        <f>P2-H2-J2-M2-N2-O2</f>
        <v>774</v>
      </c>
      <c r="R2">
        <f>Q2-F2-G2-I2-K2-L2</f>
        <v>657</v>
      </c>
      <c r="S2">
        <f>C2*0.2</f>
        <v>361.8</v>
      </c>
      <c r="T2">
        <f>(C2-D2-E2)*0.2</f>
        <v>350</v>
      </c>
      <c r="U2" s="21">
        <f>R2/Q2</f>
        <v>0.84883720930232553</v>
      </c>
      <c r="V2" s="21">
        <f>(C2-D2-E2)/C2</f>
        <v>0.96738529574350474</v>
      </c>
      <c r="W2" s="21">
        <f>S2/R2</f>
        <v>0.55068493150684938</v>
      </c>
      <c r="X2">
        <f>U2*V2*W2</f>
        <v>0.45219638242894061</v>
      </c>
    </row>
    <row r="3" spans="1:24" x14ac:dyDescent="0.3">
      <c r="A3" s="2">
        <v>2</v>
      </c>
      <c r="B3" s="2" t="s">
        <v>4</v>
      </c>
      <c r="C3" s="2">
        <f>Découpe!C3-Découpe!D3-Découpe!E3</f>
        <v>1709</v>
      </c>
      <c r="D3" s="13">
        <v>23</v>
      </c>
      <c r="E3" s="13">
        <v>30</v>
      </c>
      <c r="F3" s="14">
        <v>52</v>
      </c>
      <c r="G3" s="14">
        <v>11</v>
      </c>
      <c r="H3" s="15">
        <v>5</v>
      </c>
      <c r="I3" s="14">
        <v>5</v>
      </c>
      <c r="J3" s="15">
        <v>6</v>
      </c>
      <c r="K3" s="14">
        <v>13</v>
      </c>
      <c r="L3" s="14">
        <v>24</v>
      </c>
      <c r="N3" s="15">
        <v>20</v>
      </c>
      <c r="O3" s="16">
        <f t="shared" ref="O3:O66" si="0">37500/250</f>
        <v>150</v>
      </c>
      <c r="P3" s="1">
        <f t="shared" ref="P3:P66" si="1">4000*60/250</f>
        <v>960</v>
      </c>
      <c r="Q3">
        <f t="shared" ref="Q3:Q66" si="2">P3-H3-J3-M3-N3-O3</f>
        <v>779</v>
      </c>
      <c r="R3">
        <f t="shared" ref="R3:R66" si="3">Q3-F3-G3-I3-K3-L3</f>
        <v>674</v>
      </c>
      <c r="S3">
        <f t="shared" ref="S3:S66" si="4">C3*0.2</f>
        <v>341.8</v>
      </c>
      <c r="T3">
        <f t="shared" ref="T3:T66" si="5">(C3-D3-E3)*0.2</f>
        <v>331.20000000000005</v>
      </c>
      <c r="U3" s="21">
        <f>R3/Q3</f>
        <v>0.86521181001283698</v>
      </c>
      <c r="V3" s="21">
        <f t="shared" ref="V3:V66" si="6">(C3-D3-E3)/C3</f>
        <v>0.96898771211234636</v>
      </c>
      <c r="W3" s="21">
        <f t="shared" ref="W3:W66" si="7">S3/R3</f>
        <v>0.50712166172106832</v>
      </c>
      <c r="X3">
        <f t="shared" ref="X3:X66" si="8">U3*V3*W3</f>
        <v>0.42516046213093717</v>
      </c>
    </row>
    <row r="4" spans="1:24" x14ac:dyDescent="0.3">
      <c r="A4" s="2">
        <v>3</v>
      </c>
      <c r="B4" s="2" t="s">
        <v>3</v>
      </c>
      <c r="C4" s="2">
        <f>Découpe!C4-Découpe!D4-Découpe!E4</f>
        <v>1682</v>
      </c>
      <c r="D4" s="13">
        <v>25</v>
      </c>
      <c r="E4" s="13">
        <v>19</v>
      </c>
      <c r="F4" s="14">
        <v>54</v>
      </c>
      <c r="G4" s="14">
        <v>14</v>
      </c>
      <c r="H4" s="15">
        <v>9</v>
      </c>
      <c r="I4" s="14">
        <v>9</v>
      </c>
      <c r="J4" s="15">
        <v>8</v>
      </c>
      <c r="K4" s="14">
        <v>48</v>
      </c>
      <c r="L4" s="14">
        <v>15</v>
      </c>
      <c r="N4" s="15">
        <v>16</v>
      </c>
      <c r="O4" s="16">
        <f t="shared" si="0"/>
        <v>150</v>
      </c>
      <c r="P4" s="1">
        <f t="shared" si="1"/>
        <v>960</v>
      </c>
      <c r="Q4">
        <f t="shared" si="2"/>
        <v>777</v>
      </c>
      <c r="R4">
        <f t="shared" si="3"/>
        <v>637</v>
      </c>
      <c r="S4">
        <f t="shared" si="4"/>
        <v>336.40000000000003</v>
      </c>
      <c r="T4">
        <f t="shared" si="5"/>
        <v>327.60000000000002</v>
      </c>
      <c r="U4" s="21">
        <f t="shared" ref="U4:U67" si="9">R4/Q4</f>
        <v>0.81981981981981977</v>
      </c>
      <c r="V4" s="21">
        <f t="shared" si="6"/>
        <v>0.97384066587395957</v>
      </c>
      <c r="W4" s="21">
        <f t="shared" si="7"/>
        <v>0.52810047095761392</v>
      </c>
      <c r="X4">
        <f t="shared" si="8"/>
        <v>0.42162162162162165</v>
      </c>
    </row>
    <row r="5" spans="1:24" x14ac:dyDescent="0.3">
      <c r="A5" s="2">
        <v>4</v>
      </c>
      <c r="B5" s="2" t="s">
        <v>5</v>
      </c>
      <c r="C5" s="2">
        <f>Découpe!C5-Découpe!D5-Découpe!E5</f>
        <v>1767</v>
      </c>
      <c r="D5" s="13">
        <v>23</v>
      </c>
      <c r="E5" s="13">
        <v>24</v>
      </c>
      <c r="F5" s="14">
        <v>48</v>
      </c>
      <c r="G5" s="14">
        <v>6</v>
      </c>
      <c r="H5" s="15">
        <v>6</v>
      </c>
      <c r="I5" s="14">
        <v>6</v>
      </c>
      <c r="J5" s="15">
        <v>6</v>
      </c>
      <c r="K5" s="14">
        <v>31</v>
      </c>
      <c r="L5" s="14">
        <v>21</v>
      </c>
      <c r="N5" s="15">
        <v>19</v>
      </c>
      <c r="O5" s="16">
        <f t="shared" si="0"/>
        <v>150</v>
      </c>
      <c r="P5" s="1">
        <f t="shared" si="1"/>
        <v>960</v>
      </c>
      <c r="Q5">
        <f t="shared" si="2"/>
        <v>779</v>
      </c>
      <c r="R5">
        <f t="shared" si="3"/>
        <v>667</v>
      </c>
      <c r="S5">
        <f t="shared" si="4"/>
        <v>353.40000000000003</v>
      </c>
      <c r="T5">
        <f t="shared" si="5"/>
        <v>344</v>
      </c>
      <c r="U5" s="21">
        <f t="shared" si="9"/>
        <v>0.85622593068035946</v>
      </c>
      <c r="V5" s="21">
        <f t="shared" si="6"/>
        <v>0.9734012450481041</v>
      </c>
      <c r="W5" s="21">
        <f t="shared" si="7"/>
        <v>0.52983508245877065</v>
      </c>
      <c r="X5">
        <f t="shared" si="8"/>
        <v>0.44159178433889607</v>
      </c>
    </row>
    <row r="6" spans="1:24" x14ac:dyDescent="0.3">
      <c r="A6" s="2">
        <v>5</v>
      </c>
      <c r="B6" s="2" t="s">
        <v>2</v>
      </c>
      <c r="C6" s="2">
        <f>Découpe!C6-Découpe!D6-Découpe!E6</f>
        <v>1670</v>
      </c>
      <c r="D6" s="13">
        <v>22</v>
      </c>
      <c r="E6" s="13">
        <v>22</v>
      </c>
      <c r="F6" s="14">
        <v>75</v>
      </c>
      <c r="G6" s="14">
        <v>5</v>
      </c>
      <c r="H6" s="15">
        <v>10</v>
      </c>
      <c r="I6" s="14">
        <v>10</v>
      </c>
      <c r="J6" s="15">
        <v>7</v>
      </c>
      <c r="K6" s="14">
        <v>44</v>
      </c>
      <c r="L6" s="14">
        <v>22</v>
      </c>
      <c r="N6" s="15">
        <v>20</v>
      </c>
      <c r="O6" s="16">
        <f t="shared" si="0"/>
        <v>150</v>
      </c>
      <c r="P6" s="1">
        <f t="shared" si="1"/>
        <v>960</v>
      </c>
      <c r="Q6">
        <f t="shared" si="2"/>
        <v>773</v>
      </c>
      <c r="R6">
        <f t="shared" si="3"/>
        <v>617</v>
      </c>
      <c r="S6">
        <f t="shared" si="4"/>
        <v>334</v>
      </c>
      <c r="T6">
        <f t="shared" si="5"/>
        <v>325.20000000000005</v>
      </c>
      <c r="U6" s="21">
        <f t="shared" si="9"/>
        <v>0.79818887451487708</v>
      </c>
      <c r="V6" s="21">
        <f t="shared" si="6"/>
        <v>0.97365269461077841</v>
      </c>
      <c r="W6" s="21">
        <f t="shared" si="7"/>
        <v>0.54132901134521882</v>
      </c>
      <c r="X6">
        <f t="shared" si="8"/>
        <v>0.42069857697283308</v>
      </c>
    </row>
    <row r="7" spans="1:24" x14ac:dyDescent="0.3">
      <c r="A7" s="2">
        <v>6</v>
      </c>
      <c r="B7" s="2" t="s">
        <v>3</v>
      </c>
      <c r="C7" s="2">
        <f>Découpe!C7-Découpe!D7-Découpe!E7</f>
        <v>1816</v>
      </c>
      <c r="D7" s="13">
        <v>19</v>
      </c>
      <c r="E7" s="13">
        <v>32</v>
      </c>
      <c r="F7" s="14">
        <v>49</v>
      </c>
      <c r="G7" s="14">
        <v>7</v>
      </c>
      <c r="H7" s="15">
        <v>15</v>
      </c>
      <c r="I7" s="14">
        <v>15</v>
      </c>
      <c r="J7" s="15">
        <v>6</v>
      </c>
      <c r="K7" s="14">
        <v>48</v>
      </c>
      <c r="L7" s="14">
        <v>20</v>
      </c>
      <c r="N7" s="15">
        <v>20</v>
      </c>
      <c r="O7" s="16">
        <f t="shared" si="0"/>
        <v>150</v>
      </c>
      <c r="P7" s="1">
        <f t="shared" si="1"/>
        <v>960</v>
      </c>
      <c r="Q7">
        <f t="shared" si="2"/>
        <v>769</v>
      </c>
      <c r="R7">
        <f t="shared" si="3"/>
        <v>630</v>
      </c>
      <c r="S7">
        <f t="shared" si="4"/>
        <v>363.20000000000005</v>
      </c>
      <c r="T7">
        <f t="shared" si="5"/>
        <v>353</v>
      </c>
      <c r="U7" s="21">
        <f t="shared" si="9"/>
        <v>0.8192457737321196</v>
      </c>
      <c r="V7" s="21">
        <f t="shared" si="6"/>
        <v>0.97191629955947134</v>
      </c>
      <c r="W7" s="21">
        <f t="shared" si="7"/>
        <v>0.57650793650793652</v>
      </c>
      <c r="X7">
        <f t="shared" si="8"/>
        <v>0.45903771131339399</v>
      </c>
    </row>
    <row r="8" spans="1:24" x14ac:dyDescent="0.3">
      <c r="A8" s="2">
        <v>7</v>
      </c>
      <c r="B8" s="2" t="s">
        <v>3</v>
      </c>
      <c r="C8" s="2">
        <f>Découpe!C8-Découpe!D8-Découpe!E8</f>
        <v>1819</v>
      </c>
      <c r="D8" s="13">
        <v>18</v>
      </c>
      <c r="E8" s="13">
        <v>20</v>
      </c>
      <c r="F8" s="14">
        <v>46</v>
      </c>
      <c r="G8" s="14">
        <v>11</v>
      </c>
      <c r="H8" s="15">
        <v>11</v>
      </c>
      <c r="I8" s="14">
        <v>11</v>
      </c>
      <c r="J8" s="15">
        <v>5</v>
      </c>
      <c r="L8" s="14">
        <v>23</v>
      </c>
      <c r="N8" s="15">
        <v>16</v>
      </c>
      <c r="O8" s="16">
        <f t="shared" si="0"/>
        <v>150</v>
      </c>
      <c r="P8" s="1">
        <f t="shared" si="1"/>
        <v>960</v>
      </c>
      <c r="Q8">
        <f t="shared" si="2"/>
        <v>778</v>
      </c>
      <c r="R8">
        <f t="shared" si="3"/>
        <v>687</v>
      </c>
      <c r="S8">
        <f t="shared" si="4"/>
        <v>363.8</v>
      </c>
      <c r="T8">
        <f t="shared" si="5"/>
        <v>356.20000000000005</v>
      </c>
      <c r="U8" s="21">
        <f t="shared" si="9"/>
        <v>0.88303341902313626</v>
      </c>
      <c r="V8" s="21">
        <f t="shared" si="6"/>
        <v>0.97910940076965369</v>
      </c>
      <c r="W8" s="21">
        <f t="shared" si="7"/>
        <v>0.52954876273653573</v>
      </c>
      <c r="X8">
        <f t="shared" si="8"/>
        <v>0.45784061696658107</v>
      </c>
    </row>
    <row r="9" spans="1:24" x14ac:dyDescent="0.3">
      <c r="A9" s="2">
        <v>8</v>
      </c>
      <c r="B9" s="2" t="s">
        <v>5</v>
      </c>
      <c r="C9" s="2">
        <f>Découpe!C9-Découpe!D9-Découpe!E9</f>
        <v>1828</v>
      </c>
      <c r="D9" s="13">
        <v>23</v>
      </c>
      <c r="E9" s="13">
        <v>22</v>
      </c>
      <c r="F9" s="14">
        <v>48</v>
      </c>
      <c r="G9" s="14">
        <v>14</v>
      </c>
      <c r="H9" s="15">
        <v>15</v>
      </c>
      <c r="I9" s="14">
        <v>16</v>
      </c>
      <c r="J9" s="15">
        <v>8</v>
      </c>
      <c r="K9" s="14">
        <v>14</v>
      </c>
      <c r="L9" s="14">
        <v>31</v>
      </c>
      <c r="N9" s="15">
        <v>18</v>
      </c>
      <c r="O9" s="16">
        <f t="shared" si="0"/>
        <v>150</v>
      </c>
      <c r="P9" s="1">
        <f t="shared" si="1"/>
        <v>960</v>
      </c>
      <c r="Q9">
        <f t="shared" si="2"/>
        <v>769</v>
      </c>
      <c r="R9">
        <f t="shared" si="3"/>
        <v>646</v>
      </c>
      <c r="S9">
        <f t="shared" si="4"/>
        <v>365.6</v>
      </c>
      <c r="T9">
        <f t="shared" si="5"/>
        <v>356.6</v>
      </c>
      <c r="U9" s="21">
        <f t="shared" si="9"/>
        <v>0.84005201560468146</v>
      </c>
      <c r="V9" s="21">
        <f t="shared" si="6"/>
        <v>0.97538293216630201</v>
      </c>
      <c r="W9" s="21">
        <f t="shared" si="7"/>
        <v>0.56594427244582046</v>
      </c>
      <c r="X9">
        <f t="shared" si="8"/>
        <v>0.46371911573472047</v>
      </c>
    </row>
    <row r="10" spans="1:24" x14ac:dyDescent="0.3">
      <c r="A10" s="2">
        <v>9</v>
      </c>
      <c r="B10" s="2" t="s">
        <v>2</v>
      </c>
      <c r="C10" s="2">
        <f>Découpe!C10-Découpe!D10-Découpe!E10</f>
        <v>1720</v>
      </c>
      <c r="D10" s="13">
        <v>22</v>
      </c>
      <c r="E10" s="13">
        <v>40</v>
      </c>
      <c r="F10" s="14">
        <v>47</v>
      </c>
      <c r="G10" s="14">
        <v>9</v>
      </c>
      <c r="H10" s="15">
        <v>8</v>
      </c>
      <c r="I10" s="14">
        <v>9</v>
      </c>
      <c r="J10" s="15">
        <v>6</v>
      </c>
      <c r="K10" s="14">
        <v>27</v>
      </c>
      <c r="L10" s="14">
        <v>31</v>
      </c>
      <c r="N10" s="15">
        <v>20</v>
      </c>
      <c r="O10" s="16">
        <f t="shared" si="0"/>
        <v>150</v>
      </c>
      <c r="P10" s="1">
        <f t="shared" si="1"/>
        <v>960</v>
      </c>
      <c r="Q10">
        <f t="shared" si="2"/>
        <v>776</v>
      </c>
      <c r="R10">
        <f t="shared" si="3"/>
        <v>653</v>
      </c>
      <c r="S10">
        <f t="shared" si="4"/>
        <v>344</v>
      </c>
      <c r="T10">
        <f t="shared" si="5"/>
        <v>331.6</v>
      </c>
      <c r="U10" s="21">
        <f t="shared" si="9"/>
        <v>0.84149484536082475</v>
      </c>
      <c r="V10" s="21">
        <f t="shared" si="6"/>
        <v>0.96395348837209305</v>
      </c>
      <c r="W10" s="21">
        <f t="shared" si="7"/>
        <v>0.52679938744257271</v>
      </c>
      <c r="X10">
        <f t="shared" si="8"/>
        <v>0.42731958762886596</v>
      </c>
    </row>
    <row r="11" spans="1:24" x14ac:dyDescent="0.3">
      <c r="A11" s="2">
        <v>10</v>
      </c>
      <c r="B11" s="2" t="s">
        <v>4</v>
      </c>
      <c r="C11" s="2">
        <f>Découpe!C11-Découpe!D11-Découpe!E11</f>
        <v>1720</v>
      </c>
      <c r="D11" s="13">
        <v>16</v>
      </c>
      <c r="E11" s="13">
        <v>24</v>
      </c>
      <c r="F11" s="14">
        <v>57</v>
      </c>
      <c r="G11" s="14">
        <v>13</v>
      </c>
      <c r="H11" s="15">
        <v>11</v>
      </c>
      <c r="I11" s="14">
        <v>12</v>
      </c>
      <c r="J11" s="15">
        <v>7</v>
      </c>
      <c r="K11" s="14">
        <v>24</v>
      </c>
      <c r="L11" s="14">
        <v>14</v>
      </c>
      <c r="N11" s="15">
        <v>17</v>
      </c>
      <c r="O11" s="16">
        <f t="shared" si="0"/>
        <v>150</v>
      </c>
      <c r="P11" s="1">
        <f t="shared" si="1"/>
        <v>960</v>
      </c>
      <c r="Q11">
        <f t="shared" si="2"/>
        <v>775</v>
      </c>
      <c r="R11">
        <f t="shared" si="3"/>
        <v>655</v>
      </c>
      <c r="S11">
        <f t="shared" si="4"/>
        <v>344</v>
      </c>
      <c r="T11">
        <f t="shared" si="5"/>
        <v>336</v>
      </c>
      <c r="U11" s="21">
        <f t="shared" si="9"/>
        <v>0.84516129032258069</v>
      </c>
      <c r="V11" s="21">
        <f t="shared" si="6"/>
        <v>0.97674418604651159</v>
      </c>
      <c r="W11" s="21">
        <f t="shared" si="7"/>
        <v>0.52519083969465652</v>
      </c>
      <c r="X11">
        <f t="shared" si="8"/>
        <v>0.43354838709677418</v>
      </c>
    </row>
    <row r="12" spans="1:24" x14ac:dyDescent="0.3">
      <c r="A12" s="2">
        <v>11</v>
      </c>
      <c r="B12" s="2" t="s">
        <v>3</v>
      </c>
      <c r="C12" s="2">
        <f>Découpe!C12-Découpe!D12-Découpe!E12</f>
        <v>1808</v>
      </c>
      <c r="D12" s="13">
        <v>20</v>
      </c>
      <c r="E12" s="13">
        <v>20</v>
      </c>
      <c r="F12" s="14">
        <v>68</v>
      </c>
      <c r="G12" s="14">
        <v>8</v>
      </c>
      <c r="H12" s="15">
        <v>12</v>
      </c>
      <c r="I12" s="14">
        <v>13</v>
      </c>
      <c r="J12" s="15">
        <v>6</v>
      </c>
      <c r="K12" s="14">
        <v>14</v>
      </c>
      <c r="L12" s="14">
        <v>26</v>
      </c>
      <c r="N12" s="15">
        <v>19</v>
      </c>
      <c r="O12" s="16">
        <f t="shared" si="0"/>
        <v>150</v>
      </c>
      <c r="P12" s="1">
        <f t="shared" si="1"/>
        <v>960</v>
      </c>
      <c r="Q12">
        <f t="shared" si="2"/>
        <v>773</v>
      </c>
      <c r="R12">
        <f t="shared" si="3"/>
        <v>644</v>
      </c>
      <c r="S12">
        <f t="shared" si="4"/>
        <v>361.6</v>
      </c>
      <c r="T12">
        <f t="shared" si="5"/>
        <v>353.6</v>
      </c>
      <c r="U12" s="21">
        <f t="shared" si="9"/>
        <v>0.83311772315653299</v>
      </c>
      <c r="V12" s="21">
        <f t="shared" si="6"/>
        <v>0.97787610619469023</v>
      </c>
      <c r="W12" s="21">
        <f t="shared" si="7"/>
        <v>0.56149068322981366</v>
      </c>
      <c r="X12">
        <f t="shared" si="8"/>
        <v>0.4574385510996119</v>
      </c>
    </row>
    <row r="13" spans="1:24" x14ac:dyDescent="0.3">
      <c r="A13" s="2">
        <v>12</v>
      </c>
      <c r="B13" s="2" t="s">
        <v>5</v>
      </c>
      <c r="C13" s="2">
        <f>Découpe!C13-Découpe!D13-Découpe!E13</f>
        <v>1852</v>
      </c>
      <c r="D13" s="13">
        <v>29</v>
      </c>
      <c r="E13" s="13">
        <v>35</v>
      </c>
      <c r="F13" s="14">
        <v>45</v>
      </c>
      <c r="G13" s="14">
        <v>12</v>
      </c>
      <c r="H13" s="15">
        <v>15</v>
      </c>
      <c r="I13" s="14">
        <v>16</v>
      </c>
      <c r="J13" s="15">
        <v>7</v>
      </c>
      <c r="K13" s="14">
        <v>24</v>
      </c>
      <c r="L13" s="14">
        <v>22</v>
      </c>
      <c r="N13" s="15">
        <v>16</v>
      </c>
      <c r="O13" s="16">
        <f t="shared" si="0"/>
        <v>150</v>
      </c>
      <c r="P13" s="1">
        <f t="shared" si="1"/>
        <v>960</v>
      </c>
      <c r="Q13">
        <f t="shared" si="2"/>
        <v>772</v>
      </c>
      <c r="R13">
        <f t="shared" si="3"/>
        <v>653</v>
      </c>
      <c r="S13">
        <f t="shared" si="4"/>
        <v>370.40000000000003</v>
      </c>
      <c r="T13">
        <f t="shared" si="5"/>
        <v>357.6</v>
      </c>
      <c r="U13" s="21">
        <f t="shared" si="9"/>
        <v>0.84585492227979275</v>
      </c>
      <c r="V13" s="21">
        <f t="shared" si="6"/>
        <v>0.96544276457883371</v>
      </c>
      <c r="W13" s="21">
        <f t="shared" si="7"/>
        <v>0.56722817764165401</v>
      </c>
      <c r="X13">
        <f t="shared" si="8"/>
        <v>0.46321243523316075</v>
      </c>
    </row>
    <row r="14" spans="1:24" x14ac:dyDescent="0.3">
      <c r="A14" s="2">
        <v>13</v>
      </c>
      <c r="B14" s="2" t="s">
        <v>3</v>
      </c>
      <c r="C14" s="2">
        <f>Découpe!C14-Découpe!D14-Découpe!E14</f>
        <v>1708</v>
      </c>
      <c r="D14" s="13">
        <v>22</v>
      </c>
      <c r="E14" s="13">
        <v>28</v>
      </c>
      <c r="F14" s="14">
        <v>73</v>
      </c>
      <c r="G14" s="14">
        <v>10</v>
      </c>
      <c r="H14" s="15">
        <v>7</v>
      </c>
      <c r="I14" s="14">
        <v>8</v>
      </c>
      <c r="J14" s="15">
        <v>8</v>
      </c>
      <c r="K14" s="14">
        <v>10</v>
      </c>
      <c r="L14" s="14">
        <v>23</v>
      </c>
      <c r="N14" s="15">
        <v>18</v>
      </c>
      <c r="O14" s="16">
        <f t="shared" si="0"/>
        <v>150</v>
      </c>
      <c r="P14" s="1">
        <f t="shared" si="1"/>
        <v>960</v>
      </c>
      <c r="Q14">
        <f t="shared" si="2"/>
        <v>777</v>
      </c>
      <c r="R14">
        <f t="shared" si="3"/>
        <v>653</v>
      </c>
      <c r="S14">
        <f t="shared" si="4"/>
        <v>341.6</v>
      </c>
      <c r="T14">
        <f t="shared" si="5"/>
        <v>331.6</v>
      </c>
      <c r="U14" s="21">
        <f t="shared" si="9"/>
        <v>0.84041184041184036</v>
      </c>
      <c r="V14" s="21">
        <f t="shared" si="6"/>
        <v>0.97072599531615922</v>
      </c>
      <c r="W14" s="21">
        <f t="shared" si="7"/>
        <v>0.52312404287901992</v>
      </c>
      <c r="X14">
        <f t="shared" si="8"/>
        <v>0.42676962676962671</v>
      </c>
    </row>
    <row r="15" spans="1:24" x14ac:dyDescent="0.3">
      <c r="A15" s="2">
        <v>14</v>
      </c>
      <c r="B15" s="2" t="s">
        <v>5</v>
      </c>
      <c r="C15" s="2">
        <f>Découpe!C15-Découpe!D15-Découpe!E15</f>
        <v>1785</v>
      </c>
      <c r="D15" s="13">
        <v>28</v>
      </c>
      <c r="E15" s="13">
        <v>22</v>
      </c>
      <c r="F15" s="14">
        <v>51</v>
      </c>
      <c r="G15" s="14">
        <v>10</v>
      </c>
      <c r="H15" s="15">
        <v>9</v>
      </c>
      <c r="I15" s="14">
        <v>10</v>
      </c>
      <c r="J15" s="15">
        <v>7</v>
      </c>
      <c r="K15" s="14">
        <v>16</v>
      </c>
      <c r="L15" s="14">
        <v>24</v>
      </c>
      <c r="N15" s="15">
        <v>17</v>
      </c>
      <c r="O15" s="16">
        <f t="shared" si="0"/>
        <v>150</v>
      </c>
      <c r="P15" s="1">
        <f t="shared" si="1"/>
        <v>960</v>
      </c>
      <c r="Q15">
        <f t="shared" si="2"/>
        <v>777</v>
      </c>
      <c r="R15">
        <f t="shared" si="3"/>
        <v>666</v>
      </c>
      <c r="S15">
        <f t="shared" si="4"/>
        <v>357</v>
      </c>
      <c r="T15">
        <f t="shared" si="5"/>
        <v>347</v>
      </c>
      <c r="U15" s="21">
        <f t="shared" si="9"/>
        <v>0.8571428571428571</v>
      </c>
      <c r="V15" s="21">
        <f t="shared" si="6"/>
        <v>0.97198879551820727</v>
      </c>
      <c r="W15" s="21">
        <f t="shared" si="7"/>
        <v>0.536036036036036</v>
      </c>
      <c r="X15">
        <f t="shared" si="8"/>
        <v>0.44658944658944655</v>
      </c>
    </row>
    <row r="16" spans="1:24" x14ac:dyDescent="0.3">
      <c r="A16" s="2">
        <v>15</v>
      </c>
      <c r="B16" s="2" t="s">
        <v>2</v>
      </c>
      <c r="C16" s="2">
        <f>Découpe!C16-Découpe!D16-Découpe!E16</f>
        <v>1795</v>
      </c>
      <c r="D16" s="13">
        <v>21</v>
      </c>
      <c r="E16" s="13">
        <v>21</v>
      </c>
      <c r="F16" s="14">
        <v>58</v>
      </c>
      <c r="G16" s="14">
        <v>6</v>
      </c>
      <c r="H16" s="15">
        <v>10</v>
      </c>
      <c r="I16" s="14">
        <v>11</v>
      </c>
      <c r="J16" s="15">
        <v>8</v>
      </c>
      <c r="K16" s="14">
        <v>31</v>
      </c>
      <c r="L16" s="14">
        <v>27</v>
      </c>
      <c r="N16" s="15">
        <v>15</v>
      </c>
      <c r="O16" s="16">
        <f t="shared" si="0"/>
        <v>150</v>
      </c>
      <c r="P16" s="1">
        <f t="shared" si="1"/>
        <v>960</v>
      </c>
      <c r="Q16">
        <f t="shared" si="2"/>
        <v>777</v>
      </c>
      <c r="R16">
        <f t="shared" si="3"/>
        <v>644</v>
      </c>
      <c r="S16">
        <f t="shared" si="4"/>
        <v>359</v>
      </c>
      <c r="T16">
        <f t="shared" si="5"/>
        <v>350.6</v>
      </c>
      <c r="U16" s="21">
        <f t="shared" si="9"/>
        <v>0.8288288288288288</v>
      </c>
      <c r="V16" s="21">
        <f t="shared" si="6"/>
        <v>0.97660167130919218</v>
      </c>
      <c r="W16" s="21">
        <f t="shared" si="7"/>
        <v>0.55745341614906829</v>
      </c>
      <c r="X16">
        <f t="shared" si="8"/>
        <v>0.45122265122265115</v>
      </c>
    </row>
    <row r="17" spans="1:24" x14ac:dyDescent="0.3">
      <c r="A17" s="2">
        <v>16</v>
      </c>
      <c r="B17" s="2" t="s">
        <v>4</v>
      </c>
      <c r="C17" s="2">
        <f>Découpe!C17-Découpe!D17-Découpe!E17</f>
        <v>1631</v>
      </c>
      <c r="D17" s="13">
        <v>24</v>
      </c>
      <c r="E17" s="13">
        <v>40</v>
      </c>
      <c r="F17" s="14">
        <v>57</v>
      </c>
      <c r="G17" s="14">
        <v>10</v>
      </c>
      <c r="H17" s="15">
        <v>6</v>
      </c>
      <c r="I17" s="14">
        <v>7</v>
      </c>
      <c r="J17" s="15">
        <v>6</v>
      </c>
      <c r="K17" s="14">
        <v>26</v>
      </c>
      <c r="L17" s="14">
        <v>17</v>
      </c>
      <c r="N17" s="15">
        <v>19</v>
      </c>
      <c r="O17" s="16">
        <f t="shared" si="0"/>
        <v>150</v>
      </c>
      <c r="P17" s="1">
        <f t="shared" si="1"/>
        <v>960</v>
      </c>
      <c r="Q17">
        <f t="shared" si="2"/>
        <v>779</v>
      </c>
      <c r="R17">
        <f t="shared" si="3"/>
        <v>662</v>
      </c>
      <c r="S17">
        <f t="shared" si="4"/>
        <v>326.20000000000005</v>
      </c>
      <c r="T17">
        <f t="shared" si="5"/>
        <v>313.40000000000003</v>
      </c>
      <c r="U17" s="21">
        <f t="shared" si="9"/>
        <v>0.84980744544287545</v>
      </c>
      <c r="V17" s="21">
        <f t="shared" si="6"/>
        <v>0.96076026977314533</v>
      </c>
      <c r="W17" s="21">
        <f t="shared" si="7"/>
        <v>0.49274924471299103</v>
      </c>
      <c r="X17">
        <f t="shared" si="8"/>
        <v>0.40231065468549432</v>
      </c>
    </row>
    <row r="18" spans="1:24" x14ac:dyDescent="0.3">
      <c r="A18" s="2">
        <v>17</v>
      </c>
      <c r="B18" s="2" t="s">
        <v>3</v>
      </c>
      <c r="C18" s="2">
        <f>Découpe!C18-Découpe!D18-Découpe!E18</f>
        <v>1677</v>
      </c>
      <c r="D18" s="13">
        <v>19</v>
      </c>
      <c r="E18" s="13">
        <v>31</v>
      </c>
      <c r="F18" s="14">
        <v>61</v>
      </c>
      <c r="G18" s="14">
        <v>15</v>
      </c>
      <c r="H18" s="15">
        <v>9</v>
      </c>
      <c r="I18" s="14">
        <v>10</v>
      </c>
      <c r="J18" s="15">
        <v>7</v>
      </c>
      <c r="K18" s="14">
        <v>30</v>
      </c>
      <c r="L18" s="14">
        <v>14</v>
      </c>
      <c r="N18" s="15">
        <v>17</v>
      </c>
      <c r="O18" s="16">
        <f t="shared" si="0"/>
        <v>150</v>
      </c>
      <c r="P18" s="1">
        <f t="shared" si="1"/>
        <v>960</v>
      </c>
      <c r="Q18">
        <f t="shared" si="2"/>
        <v>777</v>
      </c>
      <c r="R18">
        <f t="shared" si="3"/>
        <v>647</v>
      </c>
      <c r="S18">
        <f t="shared" si="4"/>
        <v>335.40000000000003</v>
      </c>
      <c r="T18">
        <f t="shared" si="5"/>
        <v>325.40000000000003</v>
      </c>
      <c r="U18" s="21">
        <f t="shared" si="9"/>
        <v>0.83268983268983265</v>
      </c>
      <c r="V18" s="21">
        <f t="shared" si="6"/>
        <v>0.97018485390578413</v>
      </c>
      <c r="W18" s="21">
        <f t="shared" si="7"/>
        <v>0.51839258114374043</v>
      </c>
      <c r="X18">
        <f t="shared" si="8"/>
        <v>0.41879021879021883</v>
      </c>
    </row>
    <row r="19" spans="1:24" x14ac:dyDescent="0.3">
      <c r="A19" s="2">
        <v>18</v>
      </c>
      <c r="B19" s="2" t="s">
        <v>5</v>
      </c>
      <c r="C19" s="2">
        <f>Découpe!C19-Découpe!D19-Découpe!E19</f>
        <v>1818</v>
      </c>
      <c r="D19" s="13">
        <v>23</v>
      </c>
      <c r="E19" s="13">
        <v>40</v>
      </c>
      <c r="F19" s="14">
        <v>55</v>
      </c>
      <c r="G19" s="14">
        <v>14</v>
      </c>
      <c r="H19" s="15">
        <v>10</v>
      </c>
      <c r="I19" s="14">
        <v>12</v>
      </c>
      <c r="J19" s="15">
        <v>9</v>
      </c>
      <c r="K19" s="14">
        <v>33</v>
      </c>
      <c r="L19" s="14">
        <v>26</v>
      </c>
      <c r="N19" s="15">
        <v>20</v>
      </c>
      <c r="O19" s="16">
        <f t="shared" si="0"/>
        <v>150</v>
      </c>
      <c r="P19" s="1">
        <f t="shared" si="1"/>
        <v>960</v>
      </c>
      <c r="Q19">
        <f t="shared" si="2"/>
        <v>771</v>
      </c>
      <c r="R19">
        <f t="shared" si="3"/>
        <v>631</v>
      </c>
      <c r="S19">
        <f t="shared" si="4"/>
        <v>363.6</v>
      </c>
      <c r="T19">
        <f t="shared" si="5"/>
        <v>351</v>
      </c>
      <c r="U19" s="21">
        <f t="shared" si="9"/>
        <v>0.81841763942931256</v>
      </c>
      <c r="V19" s="21">
        <f t="shared" si="6"/>
        <v>0.96534653465346532</v>
      </c>
      <c r="W19" s="21">
        <f t="shared" si="7"/>
        <v>0.5762282091917591</v>
      </c>
      <c r="X19">
        <f t="shared" si="8"/>
        <v>0.45525291828793768</v>
      </c>
    </row>
    <row r="20" spans="1:24" x14ac:dyDescent="0.3">
      <c r="A20" s="2">
        <v>19</v>
      </c>
      <c r="B20" s="2" t="s">
        <v>4</v>
      </c>
      <c r="C20" s="2">
        <f>Découpe!C20-Découpe!D20-Découpe!E20</f>
        <v>1807</v>
      </c>
      <c r="D20" s="13">
        <v>18</v>
      </c>
      <c r="E20" s="13">
        <v>22</v>
      </c>
      <c r="F20" s="14">
        <v>53</v>
      </c>
      <c r="G20" s="14">
        <v>11</v>
      </c>
      <c r="H20" s="15">
        <v>13</v>
      </c>
      <c r="I20" s="14">
        <v>14</v>
      </c>
      <c r="J20" s="15">
        <v>5</v>
      </c>
      <c r="K20" s="14">
        <v>27</v>
      </c>
      <c r="L20" s="14">
        <v>16</v>
      </c>
      <c r="N20" s="15">
        <v>17</v>
      </c>
      <c r="O20" s="16">
        <f t="shared" si="0"/>
        <v>150</v>
      </c>
      <c r="P20" s="1">
        <f t="shared" si="1"/>
        <v>960</v>
      </c>
      <c r="Q20">
        <f t="shared" si="2"/>
        <v>775</v>
      </c>
      <c r="R20">
        <f t="shared" si="3"/>
        <v>654</v>
      </c>
      <c r="S20">
        <f t="shared" si="4"/>
        <v>361.40000000000003</v>
      </c>
      <c r="T20">
        <f t="shared" si="5"/>
        <v>353.40000000000003</v>
      </c>
      <c r="U20" s="21">
        <f t="shared" si="9"/>
        <v>0.84387096774193548</v>
      </c>
      <c r="V20" s="21">
        <f t="shared" si="6"/>
        <v>0.97786386275594905</v>
      </c>
      <c r="W20" s="21">
        <f t="shared" si="7"/>
        <v>0.55259938837920497</v>
      </c>
      <c r="X20">
        <f t="shared" si="8"/>
        <v>0.45600000000000002</v>
      </c>
    </row>
    <row r="21" spans="1:24" x14ac:dyDescent="0.3">
      <c r="A21" s="2">
        <v>20</v>
      </c>
      <c r="B21" s="2" t="s">
        <v>3</v>
      </c>
      <c r="C21" s="2">
        <f>Découpe!C21-Découpe!D21-Découpe!E21</f>
        <v>1768</v>
      </c>
      <c r="D21" s="13">
        <v>24</v>
      </c>
      <c r="E21" s="13">
        <v>40</v>
      </c>
      <c r="F21" s="14">
        <v>48</v>
      </c>
      <c r="G21" s="14">
        <v>9</v>
      </c>
      <c r="H21" s="15">
        <v>12</v>
      </c>
      <c r="I21" s="14">
        <v>12</v>
      </c>
      <c r="J21" s="15">
        <v>8</v>
      </c>
      <c r="K21" s="14">
        <v>12</v>
      </c>
      <c r="L21" s="14">
        <v>26</v>
      </c>
      <c r="N21" s="15">
        <v>17</v>
      </c>
      <c r="O21" s="16">
        <f t="shared" si="0"/>
        <v>150</v>
      </c>
      <c r="P21" s="1">
        <f t="shared" si="1"/>
        <v>960</v>
      </c>
      <c r="Q21">
        <f t="shared" si="2"/>
        <v>773</v>
      </c>
      <c r="R21">
        <f t="shared" si="3"/>
        <v>666</v>
      </c>
      <c r="S21">
        <f t="shared" si="4"/>
        <v>353.6</v>
      </c>
      <c r="T21">
        <f t="shared" si="5"/>
        <v>340.8</v>
      </c>
      <c r="U21" s="21">
        <f t="shared" si="9"/>
        <v>0.86157826649417857</v>
      </c>
      <c r="V21" s="21">
        <f t="shared" si="6"/>
        <v>0.96380090497737558</v>
      </c>
      <c r="W21" s="21">
        <f t="shared" si="7"/>
        <v>0.53093093093093091</v>
      </c>
      <c r="X21">
        <f t="shared" si="8"/>
        <v>0.44087968952134543</v>
      </c>
    </row>
    <row r="22" spans="1:24" x14ac:dyDescent="0.3">
      <c r="A22" s="2">
        <v>21</v>
      </c>
      <c r="B22" s="2" t="s">
        <v>2</v>
      </c>
      <c r="C22" s="2">
        <f>Découpe!C22-Découpe!D22-Découpe!E22</f>
        <v>1842</v>
      </c>
      <c r="D22" s="13">
        <v>22</v>
      </c>
      <c r="E22" s="13">
        <v>29</v>
      </c>
      <c r="F22" s="14">
        <v>58</v>
      </c>
      <c r="G22" s="14">
        <v>18</v>
      </c>
      <c r="H22" s="15">
        <v>9</v>
      </c>
      <c r="I22" s="14">
        <v>12</v>
      </c>
      <c r="J22" s="15">
        <v>6</v>
      </c>
      <c r="K22" s="14">
        <v>22</v>
      </c>
      <c r="L22" s="14">
        <v>33</v>
      </c>
      <c r="N22" s="15">
        <v>20</v>
      </c>
      <c r="O22" s="16">
        <f t="shared" si="0"/>
        <v>150</v>
      </c>
      <c r="P22" s="1">
        <f t="shared" si="1"/>
        <v>960</v>
      </c>
      <c r="Q22">
        <f t="shared" si="2"/>
        <v>775</v>
      </c>
      <c r="R22">
        <f t="shared" si="3"/>
        <v>632</v>
      </c>
      <c r="S22">
        <f t="shared" si="4"/>
        <v>368.40000000000003</v>
      </c>
      <c r="T22">
        <f t="shared" si="5"/>
        <v>358.20000000000005</v>
      </c>
      <c r="U22" s="21">
        <f t="shared" si="9"/>
        <v>0.81548387096774189</v>
      </c>
      <c r="V22" s="21">
        <f t="shared" si="6"/>
        <v>0.97231270358306188</v>
      </c>
      <c r="W22" s="21">
        <f t="shared" si="7"/>
        <v>0.5829113924050634</v>
      </c>
      <c r="X22">
        <f t="shared" si="8"/>
        <v>0.46219354838709681</v>
      </c>
    </row>
    <row r="23" spans="1:24" x14ac:dyDescent="0.3">
      <c r="A23" s="2">
        <v>22</v>
      </c>
      <c r="B23" s="2" t="s">
        <v>4</v>
      </c>
      <c r="C23" s="2">
        <f>Découpe!C23-Découpe!D23-Découpe!E23</f>
        <v>1851</v>
      </c>
      <c r="D23" s="13">
        <v>20</v>
      </c>
      <c r="E23" s="13">
        <v>41</v>
      </c>
      <c r="F23" s="14">
        <v>56</v>
      </c>
      <c r="G23" s="14">
        <v>13</v>
      </c>
      <c r="H23" s="15">
        <v>9</v>
      </c>
      <c r="I23" s="14">
        <v>11</v>
      </c>
      <c r="J23" s="15">
        <v>8</v>
      </c>
      <c r="K23" s="14">
        <v>38</v>
      </c>
      <c r="L23" s="14">
        <v>29</v>
      </c>
      <c r="N23" s="15">
        <v>17</v>
      </c>
      <c r="O23" s="16">
        <f t="shared" si="0"/>
        <v>150</v>
      </c>
      <c r="P23" s="1">
        <f t="shared" si="1"/>
        <v>960</v>
      </c>
      <c r="Q23">
        <f t="shared" si="2"/>
        <v>776</v>
      </c>
      <c r="R23">
        <f t="shared" si="3"/>
        <v>629</v>
      </c>
      <c r="S23">
        <f t="shared" si="4"/>
        <v>370.20000000000005</v>
      </c>
      <c r="T23">
        <f t="shared" si="5"/>
        <v>358</v>
      </c>
      <c r="U23" s="21">
        <f t="shared" si="9"/>
        <v>0.81056701030927836</v>
      </c>
      <c r="V23" s="21">
        <f t="shared" si="6"/>
        <v>0.96704484062668827</v>
      </c>
      <c r="W23" s="21">
        <f t="shared" si="7"/>
        <v>0.58855325914149448</v>
      </c>
      <c r="X23">
        <f t="shared" si="8"/>
        <v>0.46134020618556704</v>
      </c>
    </row>
    <row r="24" spans="1:24" x14ac:dyDescent="0.3">
      <c r="A24" s="2">
        <v>23</v>
      </c>
      <c r="B24" s="2" t="s">
        <v>3</v>
      </c>
      <c r="C24" s="2">
        <f>Découpe!C24-Découpe!D24-Découpe!E24</f>
        <v>1751</v>
      </c>
      <c r="D24" s="13">
        <v>19</v>
      </c>
      <c r="E24" s="13">
        <v>33</v>
      </c>
      <c r="F24" s="14">
        <v>58</v>
      </c>
      <c r="G24" s="14">
        <v>12</v>
      </c>
      <c r="H24" s="15">
        <v>8</v>
      </c>
      <c r="I24" s="14">
        <v>10</v>
      </c>
      <c r="J24" s="15">
        <v>9</v>
      </c>
      <c r="K24" s="14">
        <v>43</v>
      </c>
      <c r="L24" s="14">
        <v>24</v>
      </c>
      <c r="N24" s="15">
        <v>15</v>
      </c>
      <c r="O24" s="16">
        <f t="shared" si="0"/>
        <v>150</v>
      </c>
      <c r="P24" s="1">
        <f t="shared" si="1"/>
        <v>960</v>
      </c>
      <c r="Q24">
        <f t="shared" si="2"/>
        <v>778</v>
      </c>
      <c r="R24">
        <f t="shared" si="3"/>
        <v>631</v>
      </c>
      <c r="S24">
        <f t="shared" si="4"/>
        <v>350.20000000000005</v>
      </c>
      <c r="T24">
        <f t="shared" si="5"/>
        <v>339.8</v>
      </c>
      <c r="U24" s="21">
        <f t="shared" si="9"/>
        <v>0.81105398457583544</v>
      </c>
      <c r="V24" s="21">
        <f t="shared" si="6"/>
        <v>0.97030268418046828</v>
      </c>
      <c r="W24" s="21">
        <f t="shared" si="7"/>
        <v>0.55499207606973067</v>
      </c>
      <c r="X24">
        <f t="shared" si="8"/>
        <v>0.4367609254498715</v>
      </c>
    </row>
    <row r="25" spans="1:24" x14ac:dyDescent="0.3">
      <c r="A25" s="2">
        <v>24</v>
      </c>
      <c r="B25" s="2" t="s">
        <v>5</v>
      </c>
      <c r="C25" s="2">
        <f>Découpe!C25-Découpe!D25-Découpe!E25</f>
        <v>1709</v>
      </c>
      <c r="D25" s="13">
        <v>25</v>
      </c>
      <c r="E25" s="13">
        <v>38</v>
      </c>
      <c r="F25" s="14">
        <v>71</v>
      </c>
      <c r="G25" s="14">
        <v>9</v>
      </c>
      <c r="H25" s="15">
        <v>13</v>
      </c>
      <c r="I25" s="14">
        <v>15</v>
      </c>
      <c r="J25" s="15">
        <v>8</v>
      </c>
      <c r="K25" s="14">
        <v>30</v>
      </c>
      <c r="L25" s="14">
        <v>29</v>
      </c>
      <c r="N25" s="15">
        <v>15</v>
      </c>
      <c r="O25" s="16">
        <f t="shared" si="0"/>
        <v>150</v>
      </c>
      <c r="P25" s="1">
        <f t="shared" si="1"/>
        <v>960</v>
      </c>
      <c r="Q25">
        <f t="shared" si="2"/>
        <v>774</v>
      </c>
      <c r="R25">
        <f t="shared" si="3"/>
        <v>620</v>
      </c>
      <c r="S25">
        <f t="shared" si="4"/>
        <v>341.8</v>
      </c>
      <c r="T25">
        <f t="shared" si="5"/>
        <v>329.20000000000005</v>
      </c>
      <c r="U25" s="21">
        <f t="shared" si="9"/>
        <v>0.8010335917312662</v>
      </c>
      <c r="V25" s="21">
        <f t="shared" si="6"/>
        <v>0.9631363370392042</v>
      </c>
      <c r="W25" s="21">
        <f t="shared" si="7"/>
        <v>0.55129032258064514</v>
      </c>
      <c r="X25">
        <f t="shared" si="8"/>
        <v>0.42532299741602064</v>
      </c>
    </row>
    <row r="26" spans="1:24" x14ac:dyDescent="0.3">
      <c r="A26" s="2">
        <v>25</v>
      </c>
      <c r="B26" s="2" t="s">
        <v>4</v>
      </c>
      <c r="C26" s="2">
        <f>Découpe!C26-Découpe!D26-Découpe!E26</f>
        <v>1799</v>
      </c>
      <c r="D26" s="13">
        <v>23</v>
      </c>
      <c r="E26" s="13">
        <v>28</v>
      </c>
      <c r="F26" s="14">
        <v>62</v>
      </c>
      <c r="G26" s="14">
        <v>12</v>
      </c>
      <c r="H26" s="15">
        <v>11</v>
      </c>
      <c r="I26" s="14">
        <v>13</v>
      </c>
      <c r="J26" s="15">
        <v>7</v>
      </c>
      <c r="K26" s="14">
        <v>39</v>
      </c>
      <c r="L26" s="14">
        <v>30</v>
      </c>
      <c r="N26" s="15">
        <v>16</v>
      </c>
      <c r="O26" s="16">
        <f t="shared" si="0"/>
        <v>150</v>
      </c>
      <c r="P26" s="1">
        <f t="shared" si="1"/>
        <v>960</v>
      </c>
      <c r="Q26">
        <f t="shared" si="2"/>
        <v>776</v>
      </c>
      <c r="R26">
        <f t="shared" si="3"/>
        <v>620</v>
      </c>
      <c r="S26">
        <f t="shared" si="4"/>
        <v>359.8</v>
      </c>
      <c r="T26">
        <f t="shared" si="5"/>
        <v>349.6</v>
      </c>
      <c r="U26" s="21">
        <f t="shared" si="9"/>
        <v>0.7989690721649485</v>
      </c>
      <c r="V26" s="21">
        <f t="shared" si="6"/>
        <v>0.97165091717620899</v>
      </c>
      <c r="W26" s="21">
        <f t="shared" si="7"/>
        <v>0.58032258064516129</v>
      </c>
      <c r="X26">
        <f t="shared" si="8"/>
        <v>0.45051546391752578</v>
      </c>
    </row>
    <row r="27" spans="1:24" x14ac:dyDescent="0.3">
      <c r="A27" s="2">
        <v>26</v>
      </c>
      <c r="B27" s="2" t="s">
        <v>3</v>
      </c>
      <c r="C27" s="2">
        <f>Découpe!C27-Découpe!D27-Découpe!E27</f>
        <v>1741</v>
      </c>
      <c r="D27" s="13">
        <v>22</v>
      </c>
      <c r="E27" s="13">
        <v>29</v>
      </c>
      <c r="F27" s="14">
        <v>64</v>
      </c>
      <c r="G27" s="14">
        <v>8</v>
      </c>
      <c r="H27" s="15">
        <v>13</v>
      </c>
      <c r="I27" s="14">
        <v>16</v>
      </c>
      <c r="J27" s="15">
        <v>5</v>
      </c>
      <c r="K27" s="14">
        <v>13</v>
      </c>
      <c r="L27" s="14">
        <v>32</v>
      </c>
      <c r="N27" s="15">
        <v>17</v>
      </c>
      <c r="O27" s="16">
        <f t="shared" si="0"/>
        <v>150</v>
      </c>
      <c r="P27" s="1">
        <f t="shared" si="1"/>
        <v>960</v>
      </c>
      <c r="Q27">
        <f t="shared" si="2"/>
        <v>775</v>
      </c>
      <c r="R27">
        <f t="shared" si="3"/>
        <v>642</v>
      </c>
      <c r="S27">
        <f t="shared" si="4"/>
        <v>348.20000000000005</v>
      </c>
      <c r="T27">
        <f t="shared" si="5"/>
        <v>338</v>
      </c>
      <c r="U27" s="21">
        <f t="shared" si="9"/>
        <v>0.82838709677419353</v>
      </c>
      <c r="V27" s="21">
        <f t="shared" si="6"/>
        <v>0.97070649052268809</v>
      </c>
      <c r="W27" s="21">
        <f t="shared" si="7"/>
        <v>0.54236760124610595</v>
      </c>
      <c r="X27">
        <f t="shared" si="8"/>
        <v>0.43612903225806454</v>
      </c>
    </row>
    <row r="28" spans="1:24" x14ac:dyDescent="0.3">
      <c r="A28" s="2">
        <v>27</v>
      </c>
      <c r="B28" s="2" t="s">
        <v>5</v>
      </c>
      <c r="C28" s="2">
        <f>Découpe!C28-Découpe!D28-Découpe!E28</f>
        <v>1628</v>
      </c>
      <c r="D28" s="13">
        <v>25</v>
      </c>
      <c r="E28" s="13">
        <v>23</v>
      </c>
      <c r="F28" s="14">
        <v>74</v>
      </c>
      <c r="G28" s="14">
        <v>14</v>
      </c>
      <c r="H28" s="15">
        <v>11</v>
      </c>
      <c r="I28" s="14">
        <v>14</v>
      </c>
      <c r="J28" s="15">
        <v>8</v>
      </c>
      <c r="K28" s="14">
        <v>18</v>
      </c>
      <c r="L28" s="14">
        <v>22</v>
      </c>
      <c r="M28" s="15">
        <v>60</v>
      </c>
      <c r="N28" s="15">
        <v>15</v>
      </c>
      <c r="O28" s="16">
        <f t="shared" si="0"/>
        <v>150</v>
      </c>
      <c r="P28" s="1">
        <f t="shared" si="1"/>
        <v>960</v>
      </c>
      <c r="Q28">
        <f t="shared" si="2"/>
        <v>716</v>
      </c>
      <c r="R28">
        <f t="shared" si="3"/>
        <v>574</v>
      </c>
      <c r="S28">
        <f t="shared" si="4"/>
        <v>325.60000000000002</v>
      </c>
      <c r="T28">
        <f t="shared" si="5"/>
        <v>316</v>
      </c>
      <c r="U28" s="21">
        <f t="shared" si="9"/>
        <v>0.8016759776536313</v>
      </c>
      <c r="V28" s="21">
        <f t="shared" si="6"/>
        <v>0.97051597051597049</v>
      </c>
      <c r="W28" s="21">
        <f t="shared" si="7"/>
        <v>0.56724738675958197</v>
      </c>
      <c r="X28">
        <f t="shared" si="8"/>
        <v>0.44134078212290512</v>
      </c>
    </row>
    <row r="29" spans="1:24" x14ac:dyDescent="0.3">
      <c r="A29" s="2">
        <v>28</v>
      </c>
      <c r="B29" s="2" t="s">
        <v>5</v>
      </c>
      <c r="C29" s="2">
        <f>Découpe!C29-Découpe!D29-Découpe!E29</f>
        <v>1666</v>
      </c>
      <c r="D29" s="13">
        <v>18</v>
      </c>
      <c r="E29" s="13">
        <v>37</v>
      </c>
      <c r="F29" s="14">
        <v>47</v>
      </c>
      <c r="G29" s="14">
        <v>9</v>
      </c>
      <c r="H29" s="15">
        <v>15</v>
      </c>
      <c r="I29" s="14">
        <v>19</v>
      </c>
      <c r="J29" s="15">
        <v>6</v>
      </c>
      <c r="L29" s="14">
        <v>20</v>
      </c>
      <c r="N29" s="15">
        <v>18</v>
      </c>
      <c r="O29" s="16">
        <f t="shared" si="0"/>
        <v>150</v>
      </c>
      <c r="P29" s="1">
        <f t="shared" si="1"/>
        <v>960</v>
      </c>
      <c r="Q29">
        <f t="shared" si="2"/>
        <v>771</v>
      </c>
      <c r="R29">
        <f t="shared" si="3"/>
        <v>676</v>
      </c>
      <c r="S29">
        <f t="shared" si="4"/>
        <v>333.20000000000005</v>
      </c>
      <c r="T29">
        <f t="shared" si="5"/>
        <v>322.20000000000005</v>
      </c>
      <c r="U29" s="21">
        <f t="shared" si="9"/>
        <v>0.87678339818417639</v>
      </c>
      <c r="V29" s="21">
        <f t="shared" si="6"/>
        <v>0.96698679471788718</v>
      </c>
      <c r="W29" s="21">
        <f t="shared" si="7"/>
        <v>0.49289940828402373</v>
      </c>
      <c r="X29">
        <f t="shared" si="8"/>
        <v>0.41789883268482497</v>
      </c>
    </row>
    <row r="30" spans="1:24" x14ac:dyDescent="0.3">
      <c r="A30" s="2">
        <v>29</v>
      </c>
      <c r="B30" s="2" t="s">
        <v>4</v>
      </c>
      <c r="C30" s="2">
        <f>Découpe!C30-Découpe!D30-Découpe!E30</f>
        <v>1787</v>
      </c>
      <c r="D30" s="13">
        <v>28</v>
      </c>
      <c r="E30" s="13">
        <v>36</v>
      </c>
      <c r="F30" s="14">
        <v>61</v>
      </c>
      <c r="G30" s="14">
        <v>19</v>
      </c>
      <c r="H30" s="15">
        <v>9</v>
      </c>
      <c r="I30" s="14">
        <v>10</v>
      </c>
      <c r="J30" s="15">
        <v>8</v>
      </c>
      <c r="K30" s="14">
        <v>18</v>
      </c>
      <c r="L30" s="14">
        <v>28</v>
      </c>
      <c r="N30" s="15">
        <v>15</v>
      </c>
      <c r="O30" s="16">
        <f t="shared" si="0"/>
        <v>150</v>
      </c>
      <c r="P30" s="1">
        <f t="shared" si="1"/>
        <v>960</v>
      </c>
      <c r="Q30">
        <f t="shared" si="2"/>
        <v>778</v>
      </c>
      <c r="R30">
        <f t="shared" si="3"/>
        <v>642</v>
      </c>
      <c r="S30">
        <f t="shared" si="4"/>
        <v>357.40000000000003</v>
      </c>
      <c r="T30">
        <f t="shared" si="5"/>
        <v>344.6</v>
      </c>
      <c r="U30" s="21">
        <f t="shared" si="9"/>
        <v>0.82519280205655532</v>
      </c>
      <c r="V30" s="21">
        <f t="shared" si="6"/>
        <v>0.9641857862339116</v>
      </c>
      <c r="W30" s="21">
        <f t="shared" si="7"/>
        <v>0.5566978193146418</v>
      </c>
      <c r="X30">
        <f t="shared" si="8"/>
        <v>0.44293059125964018</v>
      </c>
    </row>
    <row r="31" spans="1:24" x14ac:dyDescent="0.3">
      <c r="A31" s="2">
        <v>30</v>
      </c>
      <c r="B31" s="2" t="s">
        <v>3</v>
      </c>
      <c r="C31" s="2">
        <f>Découpe!C31-Découpe!D31-Découpe!E31</f>
        <v>1787</v>
      </c>
      <c r="D31" s="13">
        <v>24</v>
      </c>
      <c r="E31" s="13">
        <v>21</v>
      </c>
      <c r="F31" s="14">
        <v>70</v>
      </c>
      <c r="G31" s="14">
        <v>10</v>
      </c>
      <c r="H31" s="15">
        <v>11</v>
      </c>
      <c r="I31" s="14">
        <v>15</v>
      </c>
      <c r="J31" s="15">
        <v>8</v>
      </c>
      <c r="K31" s="14">
        <v>33</v>
      </c>
      <c r="L31" s="14">
        <v>18</v>
      </c>
      <c r="N31" s="15">
        <v>15</v>
      </c>
      <c r="O31" s="16">
        <f t="shared" si="0"/>
        <v>150</v>
      </c>
      <c r="P31" s="1">
        <f t="shared" si="1"/>
        <v>960</v>
      </c>
      <c r="Q31">
        <f t="shared" si="2"/>
        <v>776</v>
      </c>
      <c r="R31">
        <f t="shared" si="3"/>
        <v>630</v>
      </c>
      <c r="S31">
        <f t="shared" si="4"/>
        <v>357.40000000000003</v>
      </c>
      <c r="T31">
        <f t="shared" si="5"/>
        <v>348.40000000000003</v>
      </c>
      <c r="U31" s="21">
        <f t="shared" si="9"/>
        <v>0.81185567010309279</v>
      </c>
      <c r="V31" s="21">
        <f t="shared" si="6"/>
        <v>0.97481813094571912</v>
      </c>
      <c r="W31" s="21">
        <f t="shared" si="7"/>
        <v>0.56730158730158731</v>
      </c>
      <c r="X31">
        <f t="shared" si="8"/>
        <v>0.44896907216494847</v>
      </c>
    </row>
    <row r="32" spans="1:24" x14ac:dyDescent="0.3">
      <c r="A32" s="2">
        <v>31</v>
      </c>
      <c r="B32" s="2" t="s">
        <v>2</v>
      </c>
      <c r="C32" s="2">
        <f>Découpe!C32-Découpe!D32-Découpe!E32</f>
        <v>1743</v>
      </c>
      <c r="D32" s="13">
        <v>20</v>
      </c>
      <c r="E32" s="13">
        <v>23</v>
      </c>
      <c r="F32" s="14">
        <v>56</v>
      </c>
      <c r="G32" s="14">
        <v>16</v>
      </c>
      <c r="H32" s="15">
        <v>14</v>
      </c>
      <c r="I32" s="14">
        <v>15</v>
      </c>
      <c r="J32" s="15">
        <v>8</v>
      </c>
      <c r="K32" s="14">
        <v>37</v>
      </c>
      <c r="L32" s="14">
        <v>26</v>
      </c>
      <c r="N32" s="15">
        <v>15</v>
      </c>
      <c r="O32" s="16">
        <f t="shared" si="0"/>
        <v>150</v>
      </c>
      <c r="P32" s="1">
        <f t="shared" si="1"/>
        <v>960</v>
      </c>
      <c r="Q32">
        <f t="shared" si="2"/>
        <v>773</v>
      </c>
      <c r="R32">
        <f t="shared" si="3"/>
        <v>623</v>
      </c>
      <c r="S32">
        <f t="shared" si="4"/>
        <v>348.6</v>
      </c>
      <c r="T32">
        <f t="shared" si="5"/>
        <v>340</v>
      </c>
      <c r="U32" s="21">
        <f t="shared" si="9"/>
        <v>0.80595084087968949</v>
      </c>
      <c r="V32" s="21">
        <f t="shared" si="6"/>
        <v>0.97532989099254164</v>
      </c>
      <c r="W32" s="21">
        <f t="shared" si="7"/>
        <v>0.55955056179775287</v>
      </c>
      <c r="X32">
        <f t="shared" si="8"/>
        <v>0.43984476067270384</v>
      </c>
    </row>
    <row r="33" spans="1:24" x14ac:dyDescent="0.3">
      <c r="A33" s="2">
        <v>32</v>
      </c>
      <c r="B33" s="2" t="s">
        <v>4</v>
      </c>
      <c r="C33" s="2">
        <f>Découpe!C33-Découpe!D33-Découpe!E33</f>
        <v>1671</v>
      </c>
      <c r="D33" s="13">
        <v>21</v>
      </c>
      <c r="E33" s="13">
        <v>34</v>
      </c>
      <c r="F33" s="14">
        <v>65</v>
      </c>
      <c r="G33" s="14">
        <v>19</v>
      </c>
      <c r="H33" s="15">
        <v>8</v>
      </c>
      <c r="I33" s="14">
        <v>11</v>
      </c>
      <c r="J33" s="15">
        <v>5</v>
      </c>
      <c r="K33" s="14">
        <v>33</v>
      </c>
      <c r="L33" s="14">
        <v>25</v>
      </c>
      <c r="N33" s="15">
        <v>16</v>
      </c>
      <c r="O33" s="16">
        <f t="shared" si="0"/>
        <v>150</v>
      </c>
      <c r="P33" s="1">
        <f t="shared" si="1"/>
        <v>960</v>
      </c>
      <c r="Q33">
        <f t="shared" si="2"/>
        <v>781</v>
      </c>
      <c r="R33">
        <f t="shared" si="3"/>
        <v>628</v>
      </c>
      <c r="S33">
        <f t="shared" si="4"/>
        <v>334.20000000000005</v>
      </c>
      <c r="T33">
        <f t="shared" si="5"/>
        <v>323.20000000000005</v>
      </c>
      <c r="U33" s="21">
        <f t="shared" si="9"/>
        <v>0.80409731113956462</v>
      </c>
      <c r="V33" s="21">
        <f t="shared" si="6"/>
        <v>0.96708557749850388</v>
      </c>
      <c r="W33" s="21">
        <f t="shared" si="7"/>
        <v>0.53216560509554145</v>
      </c>
      <c r="X33">
        <f t="shared" si="8"/>
        <v>0.41382842509603074</v>
      </c>
    </row>
    <row r="34" spans="1:24" x14ac:dyDescent="0.3">
      <c r="A34" s="2">
        <v>33</v>
      </c>
      <c r="B34" s="2" t="s">
        <v>3</v>
      </c>
      <c r="C34" s="2">
        <f>Découpe!C34-Découpe!D34-Découpe!E34</f>
        <v>1674</v>
      </c>
      <c r="D34" s="13">
        <v>19</v>
      </c>
      <c r="E34" s="13">
        <v>31</v>
      </c>
      <c r="F34" s="14">
        <v>61</v>
      </c>
      <c r="G34" s="14">
        <v>14</v>
      </c>
      <c r="H34" s="15">
        <v>11</v>
      </c>
      <c r="I34" s="14">
        <v>14</v>
      </c>
      <c r="J34" s="15">
        <v>7</v>
      </c>
      <c r="K34" s="14">
        <v>45</v>
      </c>
      <c r="L34" s="14">
        <v>33</v>
      </c>
      <c r="N34" s="15">
        <v>16</v>
      </c>
      <c r="O34" s="16">
        <f t="shared" si="0"/>
        <v>150</v>
      </c>
      <c r="P34" s="1">
        <f t="shared" si="1"/>
        <v>960</v>
      </c>
      <c r="Q34">
        <f t="shared" si="2"/>
        <v>776</v>
      </c>
      <c r="R34">
        <f t="shared" si="3"/>
        <v>609</v>
      </c>
      <c r="S34">
        <f t="shared" si="4"/>
        <v>334.8</v>
      </c>
      <c r="T34">
        <f t="shared" si="5"/>
        <v>324.8</v>
      </c>
      <c r="U34" s="21">
        <f t="shared" si="9"/>
        <v>0.78479381443298968</v>
      </c>
      <c r="V34" s="21">
        <f t="shared" si="6"/>
        <v>0.97013142174432498</v>
      </c>
      <c r="W34" s="21">
        <f t="shared" si="7"/>
        <v>0.54975369458128076</v>
      </c>
      <c r="X34">
        <f t="shared" si="8"/>
        <v>0.41855670103092785</v>
      </c>
    </row>
    <row r="35" spans="1:24" x14ac:dyDescent="0.3">
      <c r="A35" s="2">
        <v>34</v>
      </c>
      <c r="B35" s="2" t="s">
        <v>3</v>
      </c>
      <c r="C35" s="2">
        <f>Découpe!C35-Découpe!D35-Découpe!E35</f>
        <v>1584</v>
      </c>
      <c r="D35" s="13">
        <v>20</v>
      </c>
      <c r="E35" s="13">
        <v>25</v>
      </c>
      <c r="F35" s="14">
        <v>65</v>
      </c>
      <c r="G35" s="14">
        <v>9</v>
      </c>
      <c r="H35" s="15">
        <v>13</v>
      </c>
      <c r="I35" s="14">
        <v>19</v>
      </c>
      <c r="J35" s="15">
        <v>7</v>
      </c>
      <c r="L35" s="14">
        <v>17</v>
      </c>
      <c r="N35" s="15">
        <v>17</v>
      </c>
      <c r="O35" s="16">
        <f t="shared" si="0"/>
        <v>150</v>
      </c>
      <c r="P35" s="1">
        <f t="shared" si="1"/>
        <v>960</v>
      </c>
      <c r="Q35">
        <f t="shared" si="2"/>
        <v>773</v>
      </c>
      <c r="R35">
        <f t="shared" si="3"/>
        <v>663</v>
      </c>
      <c r="S35">
        <f t="shared" si="4"/>
        <v>316.8</v>
      </c>
      <c r="T35">
        <f t="shared" si="5"/>
        <v>307.8</v>
      </c>
      <c r="U35" s="21">
        <f t="shared" si="9"/>
        <v>0.85769728331177231</v>
      </c>
      <c r="V35" s="21">
        <f t="shared" si="6"/>
        <v>0.97159090909090906</v>
      </c>
      <c r="W35" s="21">
        <f t="shared" si="7"/>
        <v>0.47782805429864256</v>
      </c>
      <c r="X35">
        <f t="shared" si="8"/>
        <v>0.39818887451487711</v>
      </c>
    </row>
    <row r="36" spans="1:24" x14ac:dyDescent="0.3">
      <c r="A36" s="2">
        <v>35</v>
      </c>
      <c r="B36" s="2" t="s">
        <v>5</v>
      </c>
      <c r="C36" s="2">
        <f>Découpe!C36-Découpe!D36-Découpe!E36</f>
        <v>1640</v>
      </c>
      <c r="D36" s="13">
        <v>17</v>
      </c>
      <c r="E36" s="13">
        <v>32</v>
      </c>
      <c r="F36" s="14">
        <v>61</v>
      </c>
      <c r="G36" s="14">
        <v>7</v>
      </c>
      <c r="H36" s="15">
        <v>11</v>
      </c>
      <c r="I36" s="14">
        <v>14</v>
      </c>
      <c r="J36" s="15">
        <v>5</v>
      </c>
      <c r="K36" s="14">
        <v>46</v>
      </c>
      <c r="L36" s="14">
        <v>22</v>
      </c>
      <c r="N36" s="15">
        <v>16</v>
      </c>
      <c r="O36" s="16">
        <f t="shared" si="0"/>
        <v>150</v>
      </c>
      <c r="P36" s="1">
        <f t="shared" si="1"/>
        <v>960</v>
      </c>
      <c r="Q36">
        <f t="shared" si="2"/>
        <v>778</v>
      </c>
      <c r="R36">
        <f t="shared" si="3"/>
        <v>628</v>
      </c>
      <c r="S36">
        <f t="shared" si="4"/>
        <v>328</v>
      </c>
      <c r="T36">
        <f t="shared" si="5"/>
        <v>318.20000000000005</v>
      </c>
      <c r="U36" s="21">
        <f t="shared" si="9"/>
        <v>0.80719794344473006</v>
      </c>
      <c r="V36" s="21">
        <f t="shared" si="6"/>
        <v>0.97012195121951217</v>
      </c>
      <c r="W36" s="21">
        <f t="shared" si="7"/>
        <v>0.52229299363057324</v>
      </c>
      <c r="X36">
        <f t="shared" si="8"/>
        <v>0.4089974293059126</v>
      </c>
    </row>
    <row r="37" spans="1:24" x14ac:dyDescent="0.3">
      <c r="A37" s="2">
        <v>36</v>
      </c>
      <c r="B37" s="2" t="s">
        <v>4</v>
      </c>
      <c r="C37" s="2">
        <f>Découpe!C37-Découpe!D37-Découpe!E37</f>
        <v>1660</v>
      </c>
      <c r="D37" s="13">
        <v>17</v>
      </c>
      <c r="E37" s="13">
        <v>30</v>
      </c>
      <c r="F37" s="14">
        <v>46</v>
      </c>
      <c r="G37" s="14">
        <v>14</v>
      </c>
      <c r="H37" s="15">
        <v>6</v>
      </c>
      <c r="I37" s="14">
        <v>7</v>
      </c>
      <c r="J37" s="15">
        <v>8</v>
      </c>
      <c r="K37" s="14">
        <v>11</v>
      </c>
      <c r="L37" s="14">
        <v>27</v>
      </c>
      <c r="N37" s="15">
        <v>20</v>
      </c>
      <c r="O37" s="16">
        <f t="shared" si="0"/>
        <v>150</v>
      </c>
      <c r="P37" s="1">
        <f t="shared" si="1"/>
        <v>960</v>
      </c>
      <c r="Q37">
        <f t="shared" si="2"/>
        <v>776</v>
      </c>
      <c r="R37">
        <f t="shared" si="3"/>
        <v>671</v>
      </c>
      <c r="S37">
        <f t="shared" si="4"/>
        <v>332</v>
      </c>
      <c r="T37">
        <f t="shared" si="5"/>
        <v>322.60000000000002</v>
      </c>
      <c r="U37" s="21">
        <f t="shared" si="9"/>
        <v>0.86469072164948457</v>
      </c>
      <c r="V37" s="21">
        <f t="shared" si="6"/>
        <v>0.97168674698795177</v>
      </c>
      <c r="W37" s="21">
        <f t="shared" si="7"/>
        <v>0.49478390461997018</v>
      </c>
      <c r="X37">
        <f t="shared" si="8"/>
        <v>0.41572164948453605</v>
      </c>
    </row>
    <row r="38" spans="1:24" x14ac:dyDescent="0.3">
      <c r="A38" s="2">
        <v>37</v>
      </c>
      <c r="B38" s="2" t="s">
        <v>3</v>
      </c>
      <c r="C38" s="2">
        <f>Découpe!C38-Découpe!D38-Découpe!E38</f>
        <v>1628</v>
      </c>
      <c r="D38" s="13">
        <v>18</v>
      </c>
      <c r="E38" s="13">
        <v>30</v>
      </c>
      <c r="F38" s="14">
        <v>54</v>
      </c>
      <c r="G38" s="14">
        <v>11</v>
      </c>
      <c r="H38" s="15">
        <v>8</v>
      </c>
      <c r="I38" s="14">
        <v>12</v>
      </c>
      <c r="J38" s="15">
        <v>7</v>
      </c>
      <c r="K38" s="14">
        <v>31</v>
      </c>
      <c r="L38" s="14">
        <v>15</v>
      </c>
      <c r="N38" s="15">
        <v>17</v>
      </c>
      <c r="O38" s="16">
        <f t="shared" si="0"/>
        <v>150</v>
      </c>
      <c r="P38" s="1">
        <f t="shared" si="1"/>
        <v>960</v>
      </c>
      <c r="Q38">
        <f t="shared" si="2"/>
        <v>778</v>
      </c>
      <c r="R38">
        <f t="shared" si="3"/>
        <v>655</v>
      </c>
      <c r="S38">
        <f t="shared" si="4"/>
        <v>325.60000000000002</v>
      </c>
      <c r="T38">
        <f t="shared" si="5"/>
        <v>316</v>
      </c>
      <c r="U38" s="21">
        <f t="shared" si="9"/>
        <v>0.84190231362467871</v>
      </c>
      <c r="V38" s="21">
        <f t="shared" si="6"/>
        <v>0.97051597051597049</v>
      </c>
      <c r="W38" s="21">
        <f t="shared" si="7"/>
        <v>0.49709923664122141</v>
      </c>
      <c r="X38">
        <f t="shared" si="8"/>
        <v>0.40616966580976871</v>
      </c>
    </row>
    <row r="39" spans="1:24" x14ac:dyDescent="0.3">
      <c r="A39" s="2">
        <v>38</v>
      </c>
      <c r="B39" s="2" t="s">
        <v>2</v>
      </c>
      <c r="C39" s="2">
        <f>Découpe!C39-Découpe!D39-Découpe!E39</f>
        <v>1708</v>
      </c>
      <c r="D39" s="13">
        <v>21</v>
      </c>
      <c r="E39" s="13">
        <v>27</v>
      </c>
      <c r="F39" s="14">
        <v>57</v>
      </c>
      <c r="G39" s="14">
        <v>7</v>
      </c>
      <c r="H39" s="15">
        <v>10</v>
      </c>
      <c r="I39" s="14">
        <v>12</v>
      </c>
      <c r="J39" s="15">
        <v>9</v>
      </c>
      <c r="K39" s="14">
        <v>22</v>
      </c>
      <c r="L39" s="14">
        <v>22</v>
      </c>
      <c r="N39" s="15">
        <v>15</v>
      </c>
      <c r="O39" s="16">
        <f t="shared" si="0"/>
        <v>150</v>
      </c>
      <c r="P39" s="1">
        <f t="shared" si="1"/>
        <v>960</v>
      </c>
      <c r="Q39">
        <f t="shared" si="2"/>
        <v>776</v>
      </c>
      <c r="R39">
        <f t="shared" si="3"/>
        <v>656</v>
      </c>
      <c r="S39">
        <f t="shared" si="4"/>
        <v>341.6</v>
      </c>
      <c r="T39">
        <f t="shared" si="5"/>
        <v>332</v>
      </c>
      <c r="U39" s="21">
        <f t="shared" si="9"/>
        <v>0.84536082474226804</v>
      </c>
      <c r="V39" s="21">
        <f t="shared" si="6"/>
        <v>0.97189695550351285</v>
      </c>
      <c r="W39" s="21">
        <f t="shared" si="7"/>
        <v>0.52073170731707319</v>
      </c>
      <c r="X39">
        <f t="shared" si="8"/>
        <v>0.42783505154639179</v>
      </c>
    </row>
    <row r="40" spans="1:24" x14ac:dyDescent="0.3">
      <c r="A40" s="2">
        <v>39</v>
      </c>
      <c r="B40" s="2" t="s">
        <v>4</v>
      </c>
      <c r="C40" s="2">
        <f>Découpe!C40-Découpe!D40-Découpe!E40</f>
        <v>1746</v>
      </c>
      <c r="D40" s="13">
        <v>19</v>
      </c>
      <c r="E40" s="13">
        <v>35</v>
      </c>
      <c r="F40" s="14">
        <v>69</v>
      </c>
      <c r="G40" s="14">
        <v>15</v>
      </c>
      <c r="H40" s="15">
        <v>6</v>
      </c>
      <c r="I40" s="14">
        <v>10</v>
      </c>
      <c r="J40" s="15">
        <v>8</v>
      </c>
      <c r="K40" s="14">
        <v>33</v>
      </c>
      <c r="L40" s="14">
        <v>24</v>
      </c>
      <c r="N40" s="15">
        <v>16</v>
      </c>
      <c r="O40" s="16">
        <f t="shared" si="0"/>
        <v>150</v>
      </c>
      <c r="P40" s="1">
        <f t="shared" si="1"/>
        <v>960</v>
      </c>
      <c r="Q40">
        <f t="shared" si="2"/>
        <v>780</v>
      </c>
      <c r="R40">
        <f t="shared" si="3"/>
        <v>629</v>
      </c>
      <c r="S40">
        <f t="shared" si="4"/>
        <v>349.20000000000005</v>
      </c>
      <c r="T40">
        <f t="shared" si="5"/>
        <v>338.40000000000003</v>
      </c>
      <c r="U40" s="21">
        <f t="shared" si="9"/>
        <v>0.80641025641025643</v>
      </c>
      <c r="V40" s="21">
        <f t="shared" si="6"/>
        <v>0.96907216494845361</v>
      </c>
      <c r="W40" s="21">
        <f t="shared" si="7"/>
        <v>0.55516693163751996</v>
      </c>
      <c r="X40">
        <f t="shared" si="8"/>
        <v>0.43384615384615394</v>
      </c>
    </row>
    <row r="41" spans="1:24" x14ac:dyDescent="0.3">
      <c r="A41" s="2">
        <v>40</v>
      </c>
      <c r="B41" s="2" t="s">
        <v>3</v>
      </c>
      <c r="C41" s="2">
        <f>Découpe!C41-Découpe!D41-Découpe!E41</f>
        <v>1719</v>
      </c>
      <c r="D41" s="13">
        <v>23</v>
      </c>
      <c r="E41" s="13">
        <v>35</v>
      </c>
      <c r="F41" s="14">
        <v>58</v>
      </c>
      <c r="G41" s="14">
        <v>14</v>
      </c>
      <c r="H41" s="15">
        <v>9</v>
      </c>
      <c r="I41" s="14">
        <v>16</v>
      </c>
      <c r="J41" s="15">
        <v>9</v>
      </c>
      <c r="K41" s="14">
        <v>45</v>
      </c>
      <c r="L41" s="14">
        <v>22</v>
      </c>
      <c r="N41" s="15">
        <v>17</v>
      </c>
      <c r="O41" s="16">
        <f t="shared" si="0"/>
        <v>150</v>
      </c>
      <c r="P41" s="1">
        <f t="shared" si="1"/>
        <v>960</v>
      </c>
      <c r="Q41">
        <f t="shared" si="2"/>
        <v>775</v>
      </c>
      <c r="R41">
        <f t="shared" si="3"/>
        <v>620</v>
      </c>
      <c r="S41">
        <f t="shared" si="4"/>
        <v>343.8</v>
      </c>
      <c r="T41">
        <f t="shared" si="5"/>
        <v>332.20000000000005</v>
      </c>
      <c r="U41" s="21">
        <f t="shared" si="9"/>
        <v>0.8</v>
      </c>
      <c r="V41" s="21">
        <f t="shared" si="6"/>
        <v>0.96625945317044792</v>
      </c>
      <c r="W41" s="21">
        <f t="shared" si="7"/>
        <v>0.55451612903225811</v>
      </c>
      <c r="X41">
        <f t="shared" si="8"/>
        <v>0.42864516129032265</v>
      </c>
    </row>
    <row r="42" spans="1:24" x14ac:dyDescent="0.3">
      <c r="A42" s="2">
        <v>41</v>
      </c>
      <c r="B42" s="2" t="s">
        <v>5</v>
      </c>
      <c r="C42" s="2">
        <f>Découpe!C42-Découpe!D42-Découpe!E42</f>
        <v>1631</v>
      </c>
      <c r="D42" s="13">
        <v>22</v>
      </c>
      <c r="E42" s="13">
        <v>19</v>
      </c>
      <c r="F42" s="14">
        <v>61</v>
      </c>
      <c r="G42" s="14">
        <v>12</v>
      </c>
      <c r="H42" s="15">
        <v>7</v>
      </c>
      <c r="I42" s="14">
        <v>10</v>
      </c>
      <c r="J42" s="15">
        <v>5</v>
      </c>
      <c r="K42" s="14">
        <v>46</v>
      </c>
      <c r="L42" s="14">
        <v>23</v>
      </c>
      <c r="N42" s="15">
        <v>16</v>
      </c>
      <c r="O42" s="16">
        <f t="shared" si="0"/>
        <v>150</v>
      </c>
      <c r="P42" s="1">
        <f t="shared" si="1"/>
        <v>960</v>
      </c>
      <c r="Q42">
        <f t="shared" si="2"/>
        <v>782</v>
      </c>
      <c r="R42">
        <f t="shared" si="3"/>
        <v>630</v>
      </c>
      <c r="S42">
        <f t="shared" si="4"/>
        <v>326.20000000000005</v>
      </c>
      <c r="T42">
        <f t="shared" si="5"/>
        <v>318</v>
      </c>
      <c r="U42" s="21">
        <f t="shared" si="9"/>
        <v>0.80562659846547313</v>
      </c>
      <c r="V42" s="21">
        <f t="shared" si="6"/>
        <v>0.97486204782342123</v>
      </c>
      <c r="W42" s="21">
        <f t="shared" si="7"/>
        <v>0.51777777777777789</v>
      </c>
      <c r="X42">
        <f t="shared" si="8"/>
        <v>0.40664961636828656</v>
      </c>
    </row>
    <row r="43" spans="1:24" x14ac:dyDescent="0.3">
      <c r="A43" s="2">
        <v>42</v>
      </c>
      <c r="B43" s="2" t="s">
        <v>4</v>
      </c>
      <c r="C43" s="2">
        <f>Découpe!C43-Découpe!D43-Découpe!E43</f>
        <v>1539</v>
      </c>
      <c r="D43" s="13">
        <v>21</v>
      </c>
      <c r="E43" s="13">
        <v>35</v>
      </c>
      <c r="F43" s="14">
        <v>55</v>
      </c>
      <c r="G43" s="14">
        <v>6</v>
      </c>
      <c r="H43" s="15">
        <v>8</v>
      </c>
      <c r="I43" s="14">
        <v>12</v>
      </c>
      <c r="J43" s="15">
        <v>5</v>
      </c>
      <c r="K43" s="14">
        <v>44</v>
      </c>
      <c r="L43" s="14">
        <v>21</v>
      </c>
      <c r="N43" s="15">
        <v>20</v>
      </c>
      <c r="O43" s="16">
        <f t="shared" si="0"/>
        <v>150</v>
      </c>
      <c r="P43" s="1">
        <f t="shared" si="1"/>
        <v>960</v>
      </c>
      <c r="Q43">
        <f t="shared" si="2"/>
        <v>777</v>
      </c>
      <c r="R43">
        <f t="shared" si="3"/>
        <v>639</v>
      </c>
      <c r="S43">
        <f t="shared" si="4"/>
        <v>307.8</v>
      </c>
      <c r="T43">
        <f t="shared" si="5"/>
        <v>296.60000000000002</v>
      </c>
      <c r="U43" s="21">
        <f t="shared" si="9"/>
        <v>0.82239382239382242</v>
      </c>
      <c r="V43" s="21">
        <f t="shared" si="6"/>
        <v>0.96361273554256011</v>
      </c>
      <c r="W43" s="21">
        <f t="shared" si="7"/>
        <v>0.48169014084507045</v>
      </c>
      <c r="X43">
        <f t="shared" si="8"/>
        <v>0.38172458172458179</v>
      </c>
    </row>
    <row r="44" spans="1:24" x14ac:dyDescent="0.3">
      <c r="A44" s="2">
        <v>43</v>
      </c>
      <c r="B44" s="2" t="s">
        <v>3</v>
      </c>
      <c r="C44" s="2">
        <f>Découpe!C44-Découpe!D44-Découpe!E44</f>
        <v>1698</v>
      </c>
      <c r="D44" s="13">
        <v>23</v>
      </c>
      <c r="E44" s="13">
        <v>28</v>
      </c>
      <c r="F44" s="14">
        <v>72</v>
      </c>
      <c r="G44" s="14">
        <v>17</v>
      </c>
      <c r="H44" s="15">
        <v>8</v>
      </c>
      <c r="I44" s="14">
        <v>14</v>
      </c>
      <c r="J44" s="15">
        <v>7</v>
      </c>
      <c r="K44" s="14">
        <v>43</v>
      </c>
      <c r="L44" s="14">
        <v>28</v>
      </c>
      <c r="N44" s="15">
        <v>19</v>
      </c>
      <c r="O44" s="16">
        <f t="shared" si="0"/>
        <v>150</v>
      </c>
      <c r="P44" s="1">
        <f t="shared" si="1"/>
        <v>960</v>
      </c>
      <c r="Q44">
        <f t="shared" si="2"/>
        <v>776</v>
      </c>
      <c r="R44">
        <f t="shared" si="3"/>
        <v>602</v>
      </c>
      <c r="S44">
        <f t="shared" si="4"/>
        <v>339.6</v>
      </c>
      <c r="T44">
        <f t="shared" si="5"/>
        <v>329.40000000000003</v>
      </c>
      <c r="U44" s="21">
        <f t="shared" si="9"/>
        <v>0.77577319587628868</v>
      </c>
      <c r="V44" s="21">
        <f t="shared" si="6"/>
        <v>0.96996466431095407</v>
      </c>
      <c r="W44" s="21">
        <f t="shared" si="7"/>
        <v>0.56411960132890371</v>
      </c>
      <c r="X44">
        <f t="shared" si="8"/>
        <v>0.42448453608247427</v>
      </c>
    </row>
    <row r="45" spans="1:24" x14ac:dyDescent="0.3">
      <c r="A45" s="2">
        <v>44</v>
      </c>
      <c r="B45" s="2" t="s">
        <v>2</v>
      </c>
      <c r="C45" s="2">
        <f>Découpe!C45-Découpe!D45-Découpe!E45</f>
        <v>1680</v>
      </c>
      <c r="D45" s="13">
        <v>21</v>
      </c>
      <c r="E45" s="13">
        <v>28</v>
      </c>
      <c r="F45" s="14">
        <v>66</v>
      </c>
      <c r="G45" s="14">
        <v>13</v>
      </c>
      <c r="H45" s="15">
        <v>13</v>
      </c>
      <c r="I45" s="14">
        <v>16</v>
      </c>
      <c r="J45" s="15">
        <v>8</v>
      </c>
      <c r="K45" s="14">
        <v>33</v>
      </c>
      <c r="L45" s="14">
        <v>28</v>
      </c>
      <c r="N45" s="15">
        <v>18</v>
      </c>
      <c r="O45" s="16">
        <f t="shared" si="0"/>
        <v>150</v>
      </c>
      <c r="P45" s="1">
        <f t="shared" si="1"/>
        <v>960</v>
      </c>
      <c r="Q45">
        <f t="shared" si="2"/>
        <v>771</v>
      </c>
      <c r="R45">
        <f t="shared" si="3"/>
        <v>615</v>
      </c>
      <c r="S45">
        <f t="shared" si="4"/>
        <v>336</v>
      </c>
      <c r="T45">
        <f t="shared" si="5"/>
        <v>326.20000000000005</v>
      </c>
      <c r="U45" s="21">
        <f t="shared" si="9"/>
        <v>0.7976653696498055</v>
      </c>
      <c r="V45" s="21">
        <f t="shared" si="6"/>
        <v>0.97083333333333333</v>
      </c>
      <c r="W45" s="21">
        <f t="shared" si="7"/>
        <v>0.54634146341463419</v>
      </c>
      <c r="X45">
        <f t="shared" si="8"/>
        <v>0.42308690012970174</v>
      </c>
    </row>
    <row r="46" spans="1:24" x14ac:dyDescent="0.3">
      <c r="A46" s="2">
        <v>45</v>
      </c>
      <c r="B46" s="2" t="s">
        <v>4</v>
      </c>
      <c r="C46" s="2">
        <f>Découpe!C46-Découpe!D46-Découpe!E46</f>
        <v>1511</v>
      </c>
      <c r="D46" s="13">
        <v>17</v>
      </c>
      <c r="E46" s="13">
        <v>37</v>
      </c>
      <c r="F46" s="14">
        <v>58</v>
      </c>
      <c r="G46" s="14">
        <v>10</v>
      </c>
      <c r="H46" s="15">
        <v>14</v>
      </c>
      <c r="I46" s="14">
        <v>20</v>
      </c>
      <c r="J46" s="15">
        <v>8</v>
      </c>
      <c r="K46" s="14">
        <v>21</v>
      </c>
      <c r="L46" s="14">
        <v>22</v>
      </c>
      <c r="N46" s="15">
        <v>15</v>
      </c>
      <c r="O46" s="16">
        <f t="shared" si="0"/>
        <v>150</v>
      </c>
      <c r="P46" s="1">
        <f t="shared" si="1"/>
        <v>960</v>
      </c>
      <c r="Q46">
        <f t="shared" si="2"/>
        <v>773</v>
      </c>
      <c r="R46">
        <f t="shared" si="3"/>
        <v>642</v>
      </c>
      <c r="S46">
        <f t="shared" si="4"/>
        <v>302.2</v>
      </c>
      <c r="T46">
        <f t="shared" si="5"/>
        <v>291.40000000000003</v>
      </c>
      <c r="U46" s="21">
        <f t="shared" si="9"/>
        <v>0.83053040103492881</v>
      </c>
      <c r="V46" s="21">
        <f t="shared" si="6"/>
        <v>0.96426207809397746</v>
      </c>
      <c r="W46" s="21">
        <f t="shared" si="7"/>
        <v>0.47071651090342675</v>
      </c>
      <c r="X46">
        <f t="shared" si="8"/>
        <v>0.37697283311772312</v>
      </c>
    </row>
    <row r="47" spans="1:24" x14ac:dyDescent="0.3">
      <c r="A47" s="2">
        <v>46</v>
      </c>
      <c r="B47" s="2" t="s">
        <v>3</v>
      </c>
      <c r="C47" s="2">
        <f>Découpe!C47-Découpe!D47-Découpe!E47</f>
        <v>1645</v>
      </c>
      <c r="D47" s="13">
        <v>17</v>
      </c>
      <c r="E47" s="13">
        <v>33</v>
      </c>
      <c r="F47" s="14">
        <v>48</v>
      </c>
      <c r="G47" s="14">
        <v>8</v>
      </c>
      <c r="H47" s="15">
        <v>13</v>
      </c>
      <c r="I47" s="14">
        <v>17</v>
      </c>
      <c r="J47" s="15">
        <v>7</v>
      </c>
      <c r="K47" s="14">
        <v>49</v>
      </c>
      <c r="L47" s="14">
        <v>22</v>
      </c>
      <c r="N47" s="15">
        <v>15</v>
      </c>
      <c r="O47" s="16">
        <f t="shared" si="0"/>
        <v>150</v>
      </c>
      <c r="P47" s="1">
        <f t="shared" si="1"/>
        <v>960</v>
      </c>
      <c r="Q47">
        <f t="shared" si="2"/>
        <v>775</v>
      </c>
      <c r="R47">
        <f t="shared" si="3"/>
        <v>631</v>
      </c>
      <c r="S47">
        <f t="shared" si="4"/>
        <v>329</v>
      </c>
      <c r="T47">
        <f t="shared" si="5"/>
        <v>319</v>
      </c>
      <c r="U47" s="21">
        <f t="shared" si="9"/>
        <v>0.81419354838709679</v>
      </c>
      <c r="V47" s="21">
        <f t="shared" si="6"/>
        <v>0.96960486322188455</v>
      </c>
      <c r="W47" s="21">
        <f t="shared" si="7"/>
        <v>0.52139461172741675</v>
      </c>
      <c r="X47">
        <f t="shared" si="8"/>
        <v>0.41161290322580646</v>
      </c>
    </row>
    <row r="48" spans="1:24" x14ac:dyDescent="0.3">
      <c r="A48" s="2">
        <v>47</v>
      </c>
      <c r="B48" s="2" t="s">
        <v>3</v>
      </c>
      <c r="C48" s="2">
        <f>Découpe!C48-Découpe!D48-Découpe!E48</f>
        <v>1703</v>
      </c>
      <c r="D48" s="13">
        <v>18</v>
      </c>
      <c r="E48" s="13">
        <v>35</v>
      </c>
      <c r="F48" s="14">
        <v>73</v>
      </c>
      <c r="G48" s="14">
        <v>11</v>
      </c>
      <c r="H48" s="15">
        <v>10</v>
      </c>
      <c r="I48" s="14">
        <v>18</v>
      </c>
      <c r="J48" s="15">
        <v>9</v>
      </c>
      <c r="L48" s="14">
        <v>22</v>
      </c>
      <c r="N48" s="15">
        <v>19</v>
      </c>
      <c r="O48" s="16">
        <f t="shared" si="0"/>
        <v>150</v>
      </c>
      <c r="P48" s="1">
        <f t="shared" si="1"/>
        <v>960</v>
      </c>
      <c r="Q48">
        <f t="shared" si="2"/>
        <v>772</v>
      </c>
      <c r="R48">
        <f t="shared" si="3"/>
        <v>648</v>
      </c>
      <c r="S48">
        <f t="shared" si="4"/>
        <v>340.6</v>
      </c>
      <c r="T48">
        <f t="shared" si="5"/>
        <v>330</v>
      </c>
      <c r="U48" s="21">
        <f t="shared" si="9"/>
        <v>0.8393782383419689</v>
      </c>
      <c r="V48" s="21">
        <f t="shared" si="6"/>
        <v>0.96887844979448035</v>
      </c>
      <c r="W48" s="21">
        <f t="shared" si="7"/>
        <v>0.52561728395061735</v>
      </c>
      <c r="X48">
        <f t="shared" si="8"/>
        <v>0.42746113989637313</v>
      </c>
    </row>
    <row r="49" spans="1:24" x14ac:dyDescent="0.3">
      <c r="A49" s="2">
        <v>48</v>
      </c>
      <c r="B49" s="2" t="s">
        <v>3</v>
      </c>
      <c r="C49" s="2">
        <f>Découpe!C49-Découpe!D49-Découpe!E49</f>
        <v>1642</v>
      </c>
      <c r="D49" s="13">
        <v>27</v>
      </c>
      <c r="E49" s="13">
        <v>32</v>
      </c>
      <c r="F49" s="14">
        <v>66</v>
      </c>
      <c r="G49" s="14">
        <v>6</v>
      </c>
      <c r="H49" s="15">
        <v>5</v>
      </c>
      <c r="I49" s="14">
        <v>7</v>
      </c>
      <c r="J49" s="15">
        <v>8</v>
      </c>
      <c r="L49" s="14">
        <v>32</v>
      </c>
      <c r="N49" s="15">
        <v>19</v>
      </c>
      <c r="O49" s="16">
        <f t="shared" si="0"/>
        <v>150</v>
      </c>
      <c r="P49" s="1">
        <f t="shared" si="1"/>
        <v>960</v>
      </c>
      <c r="Q49">
        <f t="shared" si="2"/>
        <v>778</v>
      </c>
      <c r="R49">
        <f t="shared" si="3"/>
        <v>667</v>
      </c>
      <c r="S49">
        <f t="shared" si="4"/>
        <v>328.40000000000003</v>
      </c>
      <c r="T49">
        <f t="shared" si="5"/>
        <v>316.60000000000002</v>
      </c>
      <c r="U49" s="21">
        <f t="shared" si="9"/>
        <v>0.85732647814910024</v>
      </c>
      <c r="V49" s="21">
        <f t="shared" si="6"/>
        <v>0.96406820950060901</v>
      </c>
      <c r="W49" s="21">
        <f t="shared" si="7"/>
        <v>0.49235382308845582</v>
      </c>
      <c r="X49">
        <f t="shared" si="8"/>
        <v>0.40694087403598977</v>
      </c>
    </row>
    <row r="50" spans="1:24" x14ac:dyDescent="0.3">
      <c r="A50" s="2">
        <v>49</v>
      </c>
      <c r="B50" s="2" t="s">
        <v>5</v>
      </c>
      <c r="C50" s="2">
        <f>Découpe!C50-Découpe!D50-Découpe!E50</f>
        <v>1538</v>
      </c>
      <c r="D50" s="13">
        <v>22</v>
      </c>
      <c r="E50" s="13">
        <v>38</v>
      </c>
      <c r="F50" s="14">
        <v>63</v>
      </c>
      <c r="G50" s="14">
        <v>12</v>
      </c>
      <c r="H50" s="15">
        <v>7</v>
      </c>
      <c r="I50" s="14">
        <v>13</v>
      </c>
      <c r="J50" s="15">
        <v>6</v>
      </c>
      <c r="K50" s="14">
        <v>11</v>
      </c>
      <c r="L50" s="14">
        <v>25</v>
      </c>
      <c r="N50" s="15">
        <v>20</v>
      </c>
      <c r="O50" s="16">
        <f t="shared" si="0"/>
        <v>150</v>
      </c>
      <c r="P50" s="1">
        <f t="shared" si="1"/>
        <v>960</v>
      </c>
      <c r="Q50">
        <f t="shared" si="2"/>
        <v>777</v>
      </c>
      <c r="R50">
        <f t="shared" si="3"/>
        <v>653</v>
      </c>
      <c r="S50">
        <f t="shared" si="4"/>
        <v>307.60000000000002</v>
      </c>
      <c r="T50">
        <f t="shared" si="5"/>
        <v>295.60000000000002</v>
      </c>
      <c r="U50" s="21">
        <f t="shared" si="9"/>
        <v>0.84041184041184036</v>
      </c>
      <c r="V50" s="21">
        <f t="shared" si="6"/>
        <v>0.96098829648894668</v>
      </c>
      <c r="W50" s="21">
        <f t="shared" si="7"/>
        <v>0.47105666156202147</v>
      </c>
      <c r="X50">
        <f t="shared" si="8"/>
        <v>0.38043758043758047</v>
      </c>
    </row>
    <row r="51" spans="1:24" x14ac:dyDescent="0.3">
      <c r="A51" s="2">
        <v>50</v>
      </c>
      <c r="B51" s="2" t="s">
        <v>4</v>
      </c>
      <c r="C51" s="2">
        <f>Découpe!C51-Découpe!D51-Découpe!E51</f>
        <v>1599</v>
      </c>
      <c r="D51" s="13">
        <v>18</v>
      </c>
      <c r="E51" s="13">
        <v>24</v>
      </c>
      <c r="F51" s="14">
        <v>66</v>
      </c>
      <c r="G51" s="14">
        <v>10</v>
      </c>
      <c r="H51" s="15">
        <v>15</v>
      </c>
      <c r="I51" s="14">
        <v>22</v>
      </c>
      <c r="J51" s="15">
        <v>5</v>
      </c>
      <c r="K51" s="14">
        <v>14</v>
      </c>
      <c r="L51" s="14">
        <v>24</v>
      </c>
      <c r="N51" s="15">
        <v>17</v>
      </c>
      <c r="O51" s="16">
        <f t="shared" si="0"/>
        <v>150</v>
      </c>
      <c r="P51" s="1">
        <f t="shared" si="1"/>
        <v>960</v>
      </c>
      <c r="Q51">
        <f t="shared" si="2"/>
        <v>773</v>
      </c>
      <c r="R51">
        <f t="shared" si="3"/>
        <v>637</v>
      </c>
      <c r="S51">
        <f t="shared" si="4"/>
        <v>319.8</v>
      </c>
      <c r="T51">
        <f t="shared" si="5"/>
        <v>311.40000000000003</v>
      </c>
      <c r="U51" s="21">
        <f t="shared" si="9"/>
        <v>0.82406209573091849</v>
      </c>
      <c r="V51" s="21">
        <f t="shared" si="6"/>
        <v>0.97373358348968109</v>
      </c>
      <c r="W51" s="21">
        <f t="shared" si="7"/>
        <v>0.50204081632653064</v>
      </c>
      <c r="X51">
        <f t="shared" si="8"/>
        <v>0.40284605433376464</v>
      </c>
    </row>
    <row r="52" spans="1:24" x14ac:dyDescent="0.3">
      <c r="A52" s="2">
        <v>51</v>
      </c>
      <c r="B52" s="2" t="s">
        <v>3</v>
      </c>
      <c r="C52" s="2">
        <f>Découpe!C52-Découpe!D52-Découpe!E52</f>
        <v>1615</v>
      </c>
      <c r="D52" s="13">
        <v>25</v>
      </c>
      <c r="E52" s="13">
        <v>33</v>
      </c>
      <c r="F52" s="14">
        <v>53</v>
      </c>
      <c r="G52" s="14">
        <v>17</v>
      </c>
      <c r="H52" s="15">
        <v>8</v>
      </c>
      <c r="I52" s="14">
        <v>13</v>
      </c>
      <c r="J52" s="15">
        <v>8</v>
      </c>
      <c r="K52" s="14">
        <v>18</v>
      </c>
      <c r="L52" s="14">
        <v>17</v>
      </c>
      <c r="N52" s="15">
        <v>18</v>
      </c>
      <c r="O52" s="16">
        <f t="shared" si="0"/>
        <v>150</v>
      </c>
      <c r="P52" s="1">
        <f t="shared" si="1"/>
        <v>960</v>
      </c>
      <c r="Q52">
        <f t="shared" si="2"/>
        <v>776</v>
      </c>
      <c r="R52">
        <f t="shared" si="3"/>
        <v>658</v>
      </c>
      <c r="S52">
        <f t="shared" si="4"/>
        <v>323</v>
      </c>
      <c r="T52">
        <f t="shared" si="5"/>
        <v>311.40000000000003</v>
      </c>
      <c r="U52" s="21">
        <f t="shared" si="9"/>
        <v>0.84793814432989689</v>
      </c>
      <c r="V52" s="21">
        <f t="shared" si="6"/>
        <v>0.9640866873065016</v>
      </c>
      <c r="W52" s="21">
        <f t="shared" si="7"/>
        <v>0.49088145896656538</v>
      </c>
      <c r="X52">
        <f t="shared" si="8"/>
        <v>0.40128865979381451</v>
      </c>
    </row>
    <row r="53" spans="1:24" x14ac:dyDescent="0.3">
      <c r="A53" s="2">
        <v>52</v>
      </c>
      <c r="B53" s="2" t="s">
        <v>2</v>
      </c>
      <c r="C53" s="2">
        <f>Découpe!C53-Découpe!D53-Découpe!E53</f>
        <v>1720</v>
      </c>
      <c r="D53" s="13">
        <v>27</v>
      </c>
      <c r="E53" s="13">
        <v>37</v>
      </c>
      <c r="F53" s="14">
        <v>57</v>
      </c>
      <c r="G53" s="14">
        <v>14</v>
      </c>
      <c r="H53" s="15">
        <v>7</v>
      </c>
      <c r="I53" s="14">
        <v>9</v>
      </c>
      <c r="J53" s="15">
        <v>8</v>
      </c>
      <c r="K53" s="14">
        <v>46</v>
      </c>
      <c r="L53" s="14">
        <v>18</v>
      </c>
      <c r="N53" s="15">
        <v>16</v>
      </c>
      <c r="O53" s="16">
        <f t="shared" si="0"/>
        <v>150</v>
      </c>
      <c r="P53" s="1">
        <f t="shared" si="1"/>
        <v>960</v>
      </c>
      <c r="Q53">
        <f t="shared" si="2"/>
        <v>779</v>
      </c>
      <c r="R53">
        <f t="shared" si="3"/>
        <v>635</v>
      </c>
      <c r="S53">
        <f t="shared" si="4"/>
        <v>344</v>
      </c>
      <c r="T53">
        <f t="shared" si="5"/>
        <v>331.20000000000005</v>
      </c>
      <c r="U53" s="21">
        <f t="shared" si="9"/>
        <v>0.81514762516046213</v>
      </c>
      <c r="V53" s="21">
        <f t="shared" si="6"/>
        <v>0.96279069767441861</v>
      </c>
      <c r="W53" s="21">
        <f t="shared" si="7"/>
        <v>0.54173228346456692</v>
      </c>
      <c r="X53">
        <f t="shared" si="8"/>
        <v>0.42516046213093706</v>
      </c>
    </row>
    <row r="54" spans="1:24" x14ac:dyDescent="0.3">
      <c r="A54" s="2">
        <v>53</v>
      </c>
      <c r="B54" s="2" t="s">
        <v>4</v>
      </c>
      <c r="C54" s="2">
        <f>Découpe!C54-Découpe!D54-Découpe!E54</f>
        <v>1485</v>
      </c>
      <c r="D54" s="13">
        <v>22</v>
      </c>
      <c r="E54" s="13">
        <v>30</v>
      </c>
      <c r="F54" s="14">
        <v>79</v>
      </c>
      <c r="G54" s="14">
        <v>13</v>
      </c>
      <c r="H54" s="15">
        <v>14</v>
      </c>
      <c r="I54" s="14">
        <v>20</v>
      </c>
      <c r="J54" s="15">
        <v>6</v>
      </c>
      <c r="K54" s="14">
        <v>37</v>
      </c>
      <c r="L54" s="14">
        <v>26</v>
      </c>
      <c r="N54" s="15">
        <v>16</v>
      </c>
      <c r="O54" s="16">
        <f t="shared" si="0"/>
        <v>150</v>
      </c>
      <c r="P54" s="1">
        <f t="shared" si="1"/>
        <v>960</v>
      </c>
      <c r="Q54">
        <f t="shared" si="2"/>
        <v>774</v>
      </c>
      <c r="R54">
        <f t="shared" si="3"/>
        <v>599</v>
      </c>
      <c r="S54">
        <f t="shared" si="4"/>
        <v>297</v>
      </c>
      <c r="T54">
        <f t="shared" si="5"/>
        <v>286.60000000000002</v>
      </c>
      <c r="U54" s="21">
        <f t="shared" si="9"/>
        <v>0.77390180878552972</v>
      </c>
      <c r="V54" s="21">
        <f t="shared" si="6"/>
        <v>0.96498316498316494</v>
      </c>
      <c r="W54" s="21">
        <f t="shared" si="7"/>
        <v>0.4958263772954925</v>
      </c>
      <c r="X54">
        <f t="shared" si="8"/>
        <v>0.3702842377260982</v>
      </c>
    </row>
    <row r="55" spans="1:24" x14ac:dyDescent="0.3">
      <c r="A55" s="2">
        <v>54</v>
      </c>
      <c r="B55" s="2" t="s">
        <v>3</v>
      </c>
      <c r="C55" s="2">
        <f>Découpe!C55-Découpe!D55-Découpe!E55</f>
        <v>1564</v>
      </c>
      <c r="D55" s="13">
        <v>22</v>
      </c>
      <c r="E55" s="13">
        <v>34</v>
      </c>
      <c r="F55" s="14">
        <v>67</v>
      </c>
      <c r="G55" s="14">
        <v>14</v>
      </c>
      <c r="H55" s="15">
        <v>7</v>
      </c>
      <c r="I55" s="14">
        <v>10</v>
      </c>
      <c r="J55" s="15">
        <v>7</v>
      </c>
      <c r="K55" s="14">
        <v>50</v>
      </c>
      <c r="L55" s="14">
        <v>18</v>
      </c>
      <c r="N55" s="15">
        <v>18</v>
      </c>
      <c r="O55" s="16">
        <f t="shared" si="0"/>
        <v>150</v>
      </c>
      <c r="P55" s="1">
        <f t="shared" si="1"/>
        <v>960</v>
      </c>
      <c r="Q55">
        <f t="shared" si="2"/>
        <v>778</v>
      </c>
      <c r="R55">
        <f t="shared" si="3"/>
        <v>619</v>
      </c>
      <c r="S55">
        <f t="shared" si="4"/>
        <v>312.8</v>
      </c>
      <c r="T55">
        <f t="shared" si="5"/>
        <v>301.60000000000002</v>
      </c>
      <c r="U55" s="21">
        <f t="shared" si="9"/>
        <v>0.79562982005141392</v>
      </c>
      <c r="V55" s="21">
        <f t="shared" si="6"/>
        <v>0.96419437340153458</v>
      </c>
      <c r="W55" s="21">
        <f t="shared" si="7"/>
        <v>0.5053311793214863</v>
      </c>
      <c r="X55">
        <f t="shared" si="8"/>
        <v>0.38766066838046276</v>
      </c>
    </row>
    <row r="56" spans="1:24" x14ac:dyDescent="0.3">
      <c r="A56" s="2">
        <v>55</v>
      </c>
      <c r="B56" s="2" t="s">
        <v>5</v>
      </c>
      <c r="C56" s="2">
        <f>Découpe!C56-Découpe!D56-Découpe!E56</f>
        <v>1562</v>
      </c>
      <c r="D56" s="13">
        <v>21</v>
      </c>
      <c r="E56" s="13">
        <v>39</v>
      </c>
      <c r="F56" s="14">
        <v>52</v>
      </c>
      <c r="G56" s="14">
        <v>17</v>
      </c>
      <c r="H56" s="15">
        <v>13</v>
      </c>
      <c r="I56" s="14">
        <v>20</v>
      </c>
      <c r="J56" s="15">
        <v>8</v>
      </c>
      <c r="K56" s="14">
        <v>22</v>
      </c>
      <c r="L56" s="14">
        <v>16</v>
      </c>
      <c r="N56" s="15">
        <v>20</v>
      </c>
      <c r="O56" s="16">
        <f t="shared" si="0"/>
        <v>150</v>
      </c>
      <c r="P56" s="1">
        <f t="shared" si="1"/>
        <v>960</v>
      </c>
      <c r="Q56">
        <f t="shared" si="2"/>
        <v>769</v>
      </c>
      <c r="R56">
        <f t="shared" si="3"/>
        <v>642</v>
      </c>
      <c r="S56">
        <f t="shared" si="4"/>
        <v>312.40000000000003</v>
      </c>
      <c r="T56">
        <f t="shared" si="5"/>
        <v>300.40000000000003</v>
      </c>
      <c r="U56" s="21">
        <f t="shared" si="9"/>
        <v>0.83485045513654099</v>
      </c>
      <c r="V56" s="21">
        <f t="shared" si="6"/>
        <v>0.96158770806658134</v>
      </c>
      <c r="W56" s="21">
        <f t="shared" si="7"/>
        <v>0.48660436137071655</v>
      </c>
      <c r="X56">
        <f t="shared" si="8"/>
        <v>0.3906371911573473</v>
      </c>
    </row>
    <row r="57" spans="1:24" x14ac:dyDescent="0.3">
      <c r="A57" s="2">
        <v>56</v>
      </c>
      <c r="B57" s="2" t="s">
        <v>5</v>
      </c>
      <c r="C57" s="2">
        <f>Découpe!C57-Découpe!D57-Découpe!E57</f>
        <v>1509</v>
      </c>
      <c r="D57" s="13">
        <v>25</v>
      </c>
      <c r="E57" s="13">
        <v>24</v>
      </c>
      <c r="F57" s="14">
        <v>57</v>
      </c>
      <c r="G57" s="14">
        <v>15</v>
      </c>
      <c r="H57" s="15">
        <v>15</v>
      </c>
      <c r="I57" s="14">
        <v>20</v>
      </c>
      <c r="J57" s="15">
        <v>7</v>
      </c>
      <c r="L57" s="14">
        <v>23</v>
      </c>
      <c r="N57" s="15">
        <v>17</v>
      </c>
      <c r="O57" s="16">
        <f t="shared" si="0"/>
        <v>150</v>
      </c>
      <c r="P57" s="1">
        <f t="shared" si="1"/>
        <v>960</v>
      </c>
      <c r="Q57">
        <f t="shared" si="2"/>
        <v>771</v>
      </c>
      <c r="R57">
        <f t="shared" si="3"/>
        <v>656</v>
      </c>
      <c r="S57">
        <f t="shared" si="4"/>
        <v>301.8</v>
      </c>
      <c r="T57">
        <f t="shared" si="5"/>
        <v>292</v>
      </c>
      <c r="U57" s="21">
        <f t="shared" si="9"/>
        <v>0.85084306095979245</v>
      </c>
      <c r="V57" s="21">
        <f t="shared" si="6"/>
        <v>0.96752816434724986</v>
      </c>
      <c r="W57" s="21">
        <f t="shared" si="7"/>
        <v>0.46006097560975612</v>
      </c>
      <c r="X57">
        <f t="shared" si="8"/>
        <v>0.37872892347600523</v>
      </c>
    </row>
    <row r="58" spans="1:24" x14ac:dyDescent="0.3">
      <c r="A58" s="2">
        <v>57</v>
      </c>
      <c r="B58" s="2" t="s">
        <v>5</v>
      </c>
      <c r="C58" s="2">
        <f>Découpe!C58-Découpe!D58-Découpe!E58</f>
        <v>1573</v>
      </c>
      <c r="D58" s="13">
        <v>23</v>
      </c>
      <c r="E58" s="13">
        <v>35</v>
      </c>
      <c r="F58" s="14">
        <v>52</v>
      </c>
      <c r="G58" s="14">
        <v>15</v>
      </c>
      <c r="H58" s="15">
        <v>10</v>
      </c>
      <c r="I58" s="14">
        <v>13</v>
      </c>
      <c r="J58" s="15">
        <v>8</v>
      </c>
      <c r="L58" s="14">
        <v>30</v>
      </c>
      <c r="M58" s="15">
        <v>60</v>
      </c>
      <c r="N58" s="15">
        <v>15</v>
      </c>
      <c r="O58" s="16">
        <f t="shared" si="0"/>
        <v>150</v>
      </c>
      <c r="P58" s="1">
        <f t="shared" si="1"/>
        <v>960</v>
      </c>
      <c r="Q58">
        <f t="shared" si="2"/>
        <v>717</v>
      </c>
      <c r="R58">
        <f t="shared" si="3"/>
        <v>607</v>
      </c>
      <c r="S58">
        <f t="shared" si="4"/>
        <v>314.60000000000002</v>
      </c>
      <c r="T58">
        <f t="shared" si="5"/>
        <v>303</v>
      </c>
      <c r="U58" s="21">
        <f t="shared" si="9"/>
        <v>0.84658298465829851</v>
      </c>
      <c r="V58" s="21">
        <f t="shared" si="6"/>
        <v>0.96312778130959953</v>
      </c>
      <c r="W58" s="21">
        <f t="shared" si="7"/>
        <v>0.51828665568369037</v>
      </c>
      <c r="X58">
        <f t="shared" si="8"/>
        <v>0.42259414225941433</v>
      </c>
    </row>
    <row r="59" spans="1:24" x14ac:dyDescent="0.3">
      <c r="A59" s="2">
        <v>58</v>
      </c>
      <c r="B59" s="2" t="s">
        <v>3</v>
      </c>
      <c r="C59" s="2">
        <f>Découpe!C59-Découpe!D59-Découpe!E59</f>
        <v>1534</v>
      </c>
      <c r="D59" s="13">
        <v>27</v>
      </c>
      <c r="E59" s="13">
        <v>35</v>
      </c>
      <c r="F59" s="14">
        <v>54</v>
      </c>
      <c r="G59" s="14">
        <v>9</v>
      </c>
      <c r="H59" s="15">
        <v>5</v>
      </c>
      <c r="I59" s="14">
        <v>10</v>
      </c>
      <c r="J59" s="15">
        <v>9</v>
      </c>
      <c r="K59" s="14">
        <v>28</v>
      </c>
      <c r="L59" s="14">
        <v>16</v>
      </c>
      <c r="N59" s="15">
        <v>19</v>
      </c>
      <c r="O59" s="16">
        <f t="shared" si="0"/>
        <v>150</v>
      </c>
      <c r="P59" s="1">
        <f t="shared" si="1"/>
        <v>960</v>
      </c>
      <c r="Q59">
        <f t="shared" si="2"/>
        <v>777</v>
      </c>
      <c r="R59">
        <f t="shared" si="3"/>
        <v>660</v>
      </c>
      <c r="S59">
        <f t="shared" si="4"/>
        <v>306.8</v>
      </c>
      <c r="T59">
        <f t="shared" si="5"/>
        <v>294.40000000000003</v>
      </c>
      <c r="U59" s="21">
        <f t="shared" si="9"/>
        <v>0.84942084942084939</v>
      </c>
      <c r="V59" s="21">
        <f t="shared" si="6"/>
        <v>0.95958279009126468</v>
      </c>
      <c r="W59" s="21">
        <f t="shared" si="7"/>
        <v>0.46484848484848484</v>
      </c>
      <c r="X59">
        <f t="shared" si="8"/>
        <v>0.37889317889317886</v>
      </c>
    </row>
    <row r="60" spans="1:24" x14ac:dyDescent="0.3">
      <c r="A60" s="2">
        <v>59</v>
      </c>
      <c r="B60" s="2" t="s">
        <v>3</v>
      </c>
      <c r="C60" s="2">
        <f>Découpe!C60-Découpe!D60-Découpe!E60</f>
        <v>1559</v>
      </c>
      <c r="D60" s="13">
        <v>22</v>
      </c>
      <c r="E60" s="13">
        <v>43</v>
      </c>
      <c r="F60" s="14">
        <v>68</v>
      </c>
      <c r="G60" s="14">
        <v>16</v>
      </c>
      <c r="H60" s="15">
        <v>13</v>
      </c>
      <c r="I60" s="14">
        <v>18</v>
      </c>
      <c r="J60" s="15">
        <v>5</v>
      </c>
      <c r="L60" s="14">
        <v>25</v>
      </c>
      <c r="N60" s="15">
        <v>16</v>
      </c>
      <c r="O60" s="16">
        <f t="shared" si="0"/>
        <v>150</v>
      </c>
      <c r="P60" s="1">
        <f t="shared" si="1"/>
        <v>960</v>
      </c>
      <c r="Q60">
        <f t="shared" si="2"/>
        <v>776</v>
      </c>
      <c r="R60">
        <f t="shared" si="3"/>
        <v>649</v>
      </c>
      <c r="S60">
        <f t="shared" si="4"/>
        <v>311.8</v>
      </c>
      <c r="T60">
        <f t="shared" si="5"/>
        <v>298.8</v>
      </c>
      <c r="U60" s="21">
        <f t="shared" si="9"/>
        <v>0.83634020618556704</v>
      </c>
      <c r="V60" s="21">
        <f t="shared" si="6"/>
        <v>0.9583066067992303</v>
      </c>
      <c r="W60" s="21">
        <f t="shared" si="7"/>
        <v>0.48043143297380586</v>
      </c>
      <c r="X60">
        <f t="shared" si="8"/>
        <v>0.3850515463917526</v>
      </c>
    </row>
    <row r="61" spans="1:24" x14ac:dyDescent="0.3">
      <c r="A61" s="2">
        <v>60</v>
      </c>
      <c r="B61" s="2" t="s">
        <v>5</v>
      </c>
      <c r="C61" s="2">
        <f>Découpe!C61-Découpe!D61-Découpe!E61</f>
        <v>1506</v>
      </c>
      <c r="D61" s="13">
        <v>23</v>
      </c>
      <c r="E61" s="13">
        <v>37</v>
      </c>
      <c r="F61" s="14">
        <v>79</v>
      </c>
      <c r="G61" s="14">
        <v>10</v>
      </c>
      <c r="H61" s="15">
        <v>12</v>
      </c>
      <c r="I61" s="14">
        <v>22</v>
      </c>
      <c r="J61" s="15">
        <v>9</v>
      </c>
      <c r="K61" s="14">
        <v>33</v>
      </c>
      <c r="L61" s="14">
        <v>15</v>
      </c>
      <c r="N61" s="15">
        <v>19</v>
      </c>
      <c r="O61" s="16">
        <f t="shared" si="0"/>
        <v>150</v>
      </c>
      <c r="P61" s="1">
        <f t="shared" si="1"/>
        <v>960</v>
      </c>
      <c r="Q61">
        <f t="shared" si="2"/>
        <v>770</v>
      </c>
      <c r="R61">
        <f t="shared" si="3"/>
        <v>611</v>
      </c>
      <c r="S61">
        <f t="shared" si="4"/>
        <v>301.2</v>
      </c>
      <c r="T61">
        <f t="shared" si="5"/>
        <v>289.2</v>
      </c>
      <c r="U61" s="21">
        <f t="shared" si="9"/>
        <v>0.79350649350649349</v>
      </c>
      <c r="V61" s="21">
        <f t="shared" si="6"/>
        <v>0.96015936254980083</v>
      </c>
      <c r="W61" s="21">
        <f t="shared" si="7"/>
        <v>0.49296235679214401</v>
      </c>
      <c r="X61">
        <f t="shared" si="8"/>
        <v>0.37558441558441558</v>
      </c>
    </row>
    <row r="62" spans="1:24" x14ac:dyDescent="0.3">
      <c r="A62" s="2">
        <v>61</v>
      </c>
      <c r="B62" s="2" t="s">
        <v>4</v>
      </c>
      <c r="C62" s="2">
        <f>Découpe!C62-Découpe!D62-Découpe!E62</f>
        <v>1645</v>
      </c>
      <c r="D62" s="13">
        <v>21</v>
      </c>
      <c r="E62" s="13">
        <v>29</v>
      </c>
      <c r="F62" s="14">
        <v>62</v>
      </c>
      <c r="G62" s="14">
        <v>5</v>
      </c>
      <c r="H62" s="15">
        <v>11</v>
      </c>
      <c r="I62" s="14">
        <v>21</v>
      </c>
      <c r="J62" s="15">
        <v>9</v>
      </c>
      <c r="K62" s="14">
        <v>37</v>
      </c>
      <c r="L62" s="14">
        <v>26</v>
      </c>
      <c r="N62" s="15">
        <v>18</v>
      </c>
      <c r="O62" s="16">
        <f t="shared" si="0"/>
        <v>150</v>
      </c>
      <c r="P62" s="1">
        <f t="shared" si="1"/>
        <v>960</v>
      </c>
      <c r="Q62">
        <f t="shared" si="2"/>
        <v>772</v>
      </c>
      <c r="R62">
        <f t="shared" si="3"/>
        <v>621</v>
      </c>
      <c r="S62">
        <f t="shared" si="4"/>
        <v>329</v>
      </c>
      <c r="T62">
        <f t="shared" si="5"/>
        <v>319</v>
      </c>
      <c r="U62" s="21">
        <f t="shared" si="9"/>
        <v>0.80440414507772018</v>
      </c>
      <c r="V62" s="21">
        <f t="shared" si="6"/>
        <v>0.96960486322188455</v>
      </c>
      <c r="W62" s="21">
        <f t="shared" si="7"/>
        <v>0.52979066022544286</v>
      </c>
      <c r="X62">
        <f t="shared" si="8"/>
        <v>0.41321243523316065</v>
      </c>
    </row>
    <row r="63" spans="1:24" x14ac:dyDescent="0.3">
      <c r="A63" s="2">
        <v>62</v>
      </c>
      <c r="B63" s="2" t="s">
        <v>3</v>
      </c>
      <c r="C63" s="2">
        <f>Découpe!C63-Découpe!D63-Découpe!E63</f>
        <v>1554</v>
      </c>
      <c r="D63" s="13">
        <v>21</v>
      </c>
      <c r="E63" s="13">
        <v>43</v>
      </c>
      <c r="F63" s="14">
        <v>53</v>
      </c>
      <c r="G63" s="14">
        <v>8</v>
      </c>
      <c r="H63" s="15">
        <v>9</v>
      </c>
      <c r="I63" s="14">
        <v>11</v>
      </c>
      <c r="J63" s="15">
        <v>7</v>
      </c>
      <c r="K63" s="14">
        <v>45</v>
      </c>
      <c r="L63" s="14">
        <v>24</v>
      </c>
      <c r="N63" s="15">
        <v>16</v>
      </c>
      <c r="O63" s="16">
        <f t="shared" si="0"/>
        <v>150</v>
      </c>
      <c r="P63" s="1">
        <f t="shared" si="1"/>
        <v>960</v>
      </c>
      <c r="Q63">
        <f t="shared" si="2"/>
        <v>778</v>
      </c>
      <c r="R63">
        <f t="shared" si="3"/>
        <v>637</v>
      </c>
      <c r="S63">
        <f t="shared" si="4"/>
        <v>310.8</v>
      </c>
      <c r="T63">
        <f t="shared" si="5"/>
        <v>298</v>
      </c>
      <c r="U63" s="21">
        <f t="shared" si="9"/>
        <v>0.81876606683804631</v>
      </c>
      <c r="V63" s="21">
        <f t="shared" si="6"/>
        <v>0.95881595881595882</v>
      </c>
      <c r="W63" s="21">
        <f t="shared" si="7"/>
        <v>0.48791208791208796</v>
      </c>
      <c r="X63">
        <f t="shared" si="8"/>
        <v>0.38303341902313631</v>
      </c>
    </row>
    <row r="64" spans="1:24" x14ac:dyDescent="0.3">
      <c r="A64" s="2">
        <v>63</v>
      </c>
      <c r="B64" s="2" t="s">
        <v>3</v>
      </c>
      <c r="C64" s="2">
        <f>Découpe!C64-Découpe!D64-Découpe!E64</f>
        <v>1560</v>
      </c>
      <c r="D64" s="13">
        <v>14</v>
      </c>
      <c r="E64" s="13">
        <v>23</v>
      </c>
      <c r="F64" s="14">
        <v>64</v>
      </c>
      <c r="G64" s="14">
        <v>17</v>
      </c>
      <c r="H64" s="15">
        <v>15</v>
      </c>
      <c r="I64" s="14">
        <v>20</v>
      </c>
      <c r="J64" s="15">
        <v>9</v>
      </c>
      <c r="L64" s="14">
        <v>26</v>
      </c>
      <c r="N64" s="15">
        <v>20</v>
      </c>
      <c r="O64" s="16">
        <f t="shared" si="0"/>
        <v>150</v>
      </c>
      <c r="P64" s="1">
        <f t="shared" si="1"/>
        <v>960</v>
      </c>
      <c r="Q64">
        <f t="shared" si="2"/>
        <v>766</v>
      </c>
      <c r="R64">
        <f t="shared" si="3"/>
        <v>639</v>
      </c>
      <c r="S64">
        <f t="shared" si="4"/>
        <v>312</v>
      </c>
      <c r="T64">
        <f t="shared" si="5"/>
        <v>304.60000000000002</v>
      </c>
      <c r="U64" s="21">
        <f t="shared" si="9"/>
        <v>0.83420365535248042</v>
      </c>
      <c r="V64" s="21">
        <f t="shared" si="6"/>
        <v>0.97628205128205126</v>
      </c>
      <c r="W64" s="21">
        <f t="shared" si="7"/>
        <v>0.48826291079812206</v>
      </c>
      <c r="X64">
        <f t="shared" si="8"/>
        <v>0.39765013054830284</v>
      </c>
    </row>
    <row r="65" spans="1:24" x14ac:dyDescent="0.3">
      <c r="A65" s="2">
        <v>64</v>
      </c>
      <c r="B65" s="2" t="s">
        <v>5</v>
      </c>
      <c r="C65" s="2">
        <f>Découpe!C65-Découpe!D65-Découpe!E65</f>
        <v>1596</v>
      </c>
      <c r="D65" s="13">
        <v>16</v>
      </c>
      <c r="E65" s="13">
        <v>31</v>
      </c>
      <c r="F65" s="14">
        <v>80</v>
      </c>
      <c r="G65" s="14">
        <v>15</v>
      </c>
      <c r="H65" s="15">
        <v>14</v>
      </c>
      <c r="I65" s="14">
        <v>22</v>
      </c>
      <c r="J65" s="15">
        <v>7</v>
      </c>
      <c r="K65" s="14">
        <v>13</v>
      </c>
      <c r="L65" s="14">
        <v>29</v>
      </c>
      <c r="N65" s="15">
        <v>19</v>
      </c>
      <c r="O65" s="16">
        <f t="shared" si="0"/>
        <v>150</v>
      </c>
      <c r="P65" s="1">
        <f t="shared" si="1"/>
        <v>960</v>
      </c>
      <c r="Q65">
        <f t="shared" si="2"/>
        <v>770</v>
      </c>
      <c r="R65">
        <f t="shared" si="3"/>
        <v>611</v>
      </c>
      <c r="S65">
        <f t="shared" si="4"/>
        <v>319.20000000000005</v>
      </c>
      <c r="T65">
        <f t="shared" si="5"/>
        <v>309.8</v>
      </c>
      <c r="U65" s="21">
        <f t="shared" si="9"/>
        <v>0.79350649350649349</v>
      </c>
      <c r="V65" s="21">
        <f t="shared" si="6"/>
        <v>0.97055137844611528</v>
      </c>
      <c r="W65" s="21">
        <f t="shared" si="7"/>
        <v>0.52242225859247138</v>
      </c>
      <c r="X65">
        <f t="shared" si="8"/>
        <v>0.40233766233766238</v>
      </c>
    </row>
    <row r="66" spans="1:24" x14ac:dyDescent="0.3">
      <c r="A66" s="2">
        <v>65</v>
      </c>
      <c r="B66" s="2" t="s">
        <v>4</v>
      </c>
      <c r="C66" s="2">
        <f>Découpe!C66-Découpe!D66-Découpe!E66</f>
        <v>1667</v>
      </c>
      <c r="D66" s="13">
        <v>25</v>
      </c>
      <c r="E66" s="13">
        <v>31</v>
      </c>
      <c r="F66" s="14">
        <v>72</v>
      </c>
      <c r="G66" s="14">
        <v>14</v>
      </c>
      <c r="H66" s="15">
        <v>6</v>
      </c>
      <c r="I66" s="14">
        <v>13</v>
      </c>
      <c r="J66" s="15">
        <v>8</v>
      </c>
      <c r="K66" s="14">
        <v>12</v>
      </c>
      <c r="L66" s="14">
        <v>19</v>
      </c>
      <c r="N66" s="15">
        <v>16</v>
      </c>
      <c r="O66" s="16">
        <f t="shared" si="0"/>
        <v>150</v>
      </c>
      <c r="P66" s="1">
        <f t="shared" si="1"/>
        <v>960</v>
      </c>
      <c r="Q66">
        <f t="shared" si="2"/>
        <v>780</v>
      </c>
      <c r="R66">
        <f t="shared" si="3"/>
        <v>650</v>
      </c>
      <c r="S66">
        <f t="shared" si="4"/>
        <v>333.40000000000003</v>
      </c>
      <c r="T66">
        <f t="shared" si="5"/>
        <v>322.20000000000005</v>
      </c>
      <c r="U66" s="21">
        <f t="shared" si="9"/>
        <v>0.83333333333333337</v>
      </c>
      <c r="V66" s="21">
        <f t="shared" si="6"/>
        <v>0.9664067186562687</v>
      </c>
      <c r="W66" s="21">
        <f t="shared" si="7"/>
        <v>0.51292307692307693</v>
      </c>
      <c r="X66">
        <f t="shared" si="8"/>
        <v>0.41307692307692306</v>
      </c>
    </row>
    <row r="67" spans="1:24" x14ac:dyDescent="0.3">
      <c r="A67" s="2">
        <v>66</v>
      </c>
      <c r="B67" s="2" t="s">
        <v>3</v>
      </c>
      <c r="C67" s="2">
        <f>Découpe!C67-Découpe!D67-Découpe!E67</f>
        <v>1575</v>
      </c>
      <c r="D67" s="13">
        <v>21</v>
      </c>
      <c r="E67" s="13">
        <v>23</v>
      </c>
      <c r="F67" s="14">
        <v>61</v>
      </c>
      <c r="G67" s="14">
        <v>14</v>
      </c>
      <c r="H67" s="15">
        <v>6</v>
      </c>
      <c r="I67" s="14">
        <v>11</v>
      </c>
      <c r="J67" s="15">
        <v>5</v>
      </c>
      <c r="K67" s="14">
        <v>33</v>
      </c>
      <c r="L67" s="14">
        <v>23</v>
      </c>
      <c r="N67" s="15">
        <v>15</v>
      </c>
      <c r="O67" s="16">
        <f t="shared" ref="O67:O130" si="10">37500/250</f>
        <v>150</v>
      </c>
      <c r="P67" s="1">
        <f t="shared" ref="P67:P130" si="11">4000*60/250</f>
        <v>960</v>
      </c>
      <c r="Q67">
        <f t="shared" ref="Q67:Q130" si="12">P67-H67-J67-M67-N67-O67</f>
        <v>784</v>
      </c>
      <c r="R67">
        <f t="shared" ref="R67:R130" si="13">Q67-F67-G67-I67-K67-L67</f>
        <v>642</v>
      </c>
      <c r="S67">
        <f t="shared" ref="S67:S130" si="14">C67*0.2</f>
        <v>315</v>
      </c>
      <c r="T67">
        <f t="shared" ref="T67:T130" si="15">(C67-D67-E67)*0.2</f>
        <v>306.2</v>
      </c>
      <c r="U67" s="21">
        <f t="shared" si="9"/>
        <v>0.81887755102040816</v>
      </c>
      <c r="V67" s="21">
        <f t="shared" ref="V67:V130" si="16">(C67-D67-E67)/C67</f>
        <v>0.97206349206349207</v>
      </c>
      <c r="W67" s="21">
        <f t="shared" ref="W67:W130" si="17">S67/R67</f>
        <v>0.49065420560747663</v>
      </c>
      <c r="X67">
        <f t="shared" ref="X67:X130" si="18">U67*V67*W67</f>
        <v>0.39056122448979591</v>
      </c>
    </row>
    <row r="68" spans="1:24" x14ac:dyDescent="0.3">
      <c r="A68" s="2">
        <v>67</v>
      </c>
      <c r="B68" s="2" t="s">
        <v>2</v>
      </c>
      <c r="C68" s="2">
        <f>Découpe!C68-Découpe!D68-Découpe!E68</f>
        <v>1515</v>
      </c>
      <c r="D68" s="13">
        <v>22</v>
      </c>
      <c r="E68" s="13">
        <v>37</v>
      </c>
      <c r="F68" s="14">
        <v>73</v>
      </c>
      <c r="G68" s="14">
        <v>14</v>
      </c>
      <c r="H68" s="15">
        <v>15</v>
      </c>
      <c r="I68" s="14">
        <v>23</v>
      </c>
      <c r="J68" s="15">
        <v>6</v>
      </c>
      <c r="K68" s="14">
        <v>28</v>
      </c>
      <c r="L68" s="14">
        <v>21</v>
      </c>
      <c r="N68" s="15">
        <v>18</v>
      </c>
      <c r="O68" s="16">
        <f t="shared" si="10"/>
        <v>150</v>
      </c>
      <c r="P68" s="1">
        <f t="shared" si="11"/>
        <v>960</v>
      </c>
      <c r="Q68">
        <f t="shared" si="12"/>
        <v>771</v>
      </c>
      <c r="R68">
        <f t="shared" si="13"/>
        <v>612</v>
      </c>
      <c r="S68">
        <f t="shared" si="14"/>
        <v>303</v>
      </c>
      <c r="T68">
        <f t="shared" si="15"/>
        <v>291.2</v>
      </c>
      <c r="U68" s="21">
        <f t="shared" ref="U68:U131" si="19">R68/Q68</f>
        <v>0.79377431906614782</v>
      </c>
      <c r="V68" s="21">
        <f t="shared" si="16"/>
        <v>0.9610561056105611</v>
      </c>
      <c r="W68" s="21">
        <f t="shared" si="17"/>
        <v>0.49509803921568629</v>
      </c>
      <c r="X68">
        <f t="shared" si="18"/>
        <v>0.37769130998702988</v>
      </c>
    </row>
    <row r="69" spans="1:24" x14ac:dyDescent="0.3">
      <c r="A69" s="2">
        <v>68</v>
      </c>
      <c r="B69" s="2" t="s">
        <v>5</v>
      </c>
      <c r="C69" s="2">
        <f>Découpe!C69-Découpe!D69-Découpe!E69</f>
        <v>1441</v>
      </c>
      <c r="D69" s="13">
        <v>21</v>
      </c>
      <c r="E69" s="13">
        <v>21</v>
      </c>
      <c r="F69" s="14">
        <v>62</v>
      </c>
      <c r="G69" s="14">
        <v>8</v>
      </c>
      <c r="H69" s="15">
        <v>14</v>
      </c>
      <c r="I69" s="14">
        <v>20</v>
      </c>
      <c r="J69" s="15">
        <v>8</v>
      </c>
      <c r="K69" s="14">
        <v>15</v>
      </c>
      <c r="L69" s="14">
        <v>26</v>
      </c>
      <c r="N69" s="15">
        <v>17</v>
      </c>
      <c r="O69" s="16">
        <f t="shared" si="10"/>
        <v>150</v>
      </c>
      <c r="P69" s="1">
        <f t="shared" si="11"/>
        <v>960</v>
      </c>
      <c r="Q69">
        <f t="shared" si="12"/>
        <v>771</v>
      </c>
      <c r="R69">
        <f t="shared" si="13"/>
        <v>640</v>
      </c>
      <c r="S69">
        <f t="shared" si="14"/>
        <v>288.2</v>
      </c>
      <c r="T69">
        <f t="shared" si="15"/>
        <v>279.8</v>
      </c>
      <c r="U69" s="21">
        <f t="shared" si="19"/>
        <v>0.83009079118028539</v>
      </c>
      <c r="V69" s="21">
        <f t="shared" si="16"/>
        <v>0.97085357390700899</v>
      </c>
      <c r="W69" s="21">
        <f t="shared" si="17"/>
        <v>0.4503125</v>
      </c>
      <c r="X69">
        <f t="shared" si="18"/>
        <v>0.36290531776913104</v>
      </c>
    </row>
    <row r="70" spans="1:24" x14ac:dyDescent="0.3">
      <c r="A70" s="2">
        <v>69</v>
      </c>
      <c r="B70" s="2" t="s">
        <v>5</v>
      </c>
      <c r="C70" s="2">
        <f>Découpe!C70-Découpe!D70-Découpe!E70</f>
        <v>1684</v>
      </c>
      <c r="D70" s="13">
        <v>18</v>
      </c>
      <c r="E70" s="13">
        <v>22</v>
      </c>
      <c r="F70" s="14">
        <v>82</v>
      </c>
      <c r="G70" s="14">
        <v>16</v>
      </c>
      <c r="H70" s="15">
        <v>9</v>
      </c>
      <c r="I70" s="14">
        <v>13</v>
      </c>
      <c r="J70" s="15">
        <v>7</v>
      </c>
      <c r="L70" s="14">
        <v>18</v>
      </c>
      <c r="N70" s="15">
        <v>18</v>
      </c>
      <c r="O70" s="16">
        <f t="shared" si="10"/>
        <v>150</v>
      </c>
      <c r="P70" s="1">
        <f t="shared" si="11"/>
        <v>960</v>
      </c>
      <c r="Q70">
        <f t="shared" si="12"/>
        <v>776</v>
      </c>
      <c r="R70">
        <f t="shared" si="13"/>
        <v>647</v>
      </c>
      <c r="S70">
        <f t="shared" si="14"/>
        <v>336.8</v>
      </c>
      <c r="T70">
        <f t="shared" si="15"/>
        <v>328.8</v>
      </c>
      <c r="U70" s="21">
        <f t="shared" si="19"/>
        <v>0.83376288659793818</v>
      </c>
      <c r="V70" s="21">
        <f t="shared" si="16"/>
        <v>0.97624703087885989</v>
      </c>
      <c r="W70" s="21">
        <f t="shared" si="17"/>
        <v>0.52055641421947452</v>
      </c>
      <c r="X70">
        <f t="shared" si="18"/>
        <v>0.42371134020618562</v>
      </c>
    </row>
    <row r="71" spans="1:24" x14ac:dyDescent="0.3">
      <c r="A71" s="2">
        <v>70</v>
      </c>
      <c r="B71" s="2" t="s">
        <v>3</v>
      </c>
      <c r="C71" s="2">
        <f>Découpe!C71-Découpe!D71-Découpe!E71</f>
        <v>1672</v>
      </c>
      <c r="D71" s="13">
        <v>19</v>
      </c>
      <c r="E71" s="13">
        <v>28</v>
      </c>
      <c r="F71" s="14">
        <v>50</v>
      </c>
      <c r="G71" s="14">
        <v>6</v>
      </c>
      <c r="H71" s="15">
        <v>14</v>
      </c>
      <c r="I71" s="14">
        <v>26</v>
      </c>
      <c r="J71" s="15">
        <v>7</v>
      </c>
      <c r="K71" s="14">
        <v>44</v>
      </c>
      <c r="L71" s="14">
        <v>19</v>
      </c>
      <c r="N71" s="15">
        <v>20</v>
      </c>
      <c r="O71" s="16">
        <f t="shared" si="10"/>
        <v>150</v>
      </c>
      <c r="P71" s="1">
        <f t="shared" si="11"/>
        <v>960</v>
      </c>
      <c r="Q71">
        <f t="shared" si="12"/>
        <v>769</v>
      </c>
      <c r="R71">
        <f t="shared" si="13"/>
        <v>624</v>
      </c>
      <c r="S71">
        <f t="shared" si="14"/>
        <v>334.40000000000003</v>
      </c>
      <c r="T71">
        <f t="shared" si="15"/>
        <v>325</v>
      </c>
      <c r="U71" s="21">
        <f t="shared" si="19"/>
        <v>0.81144343302990896</v>
      </c>
      <c r="V71" s="21">
        <f t="shared" si="16"/>
        <v>0.97188995215311003</v>
      </c>
      <c r="W71" s="21">
        <f t="shared" si="17"/>
        <v>0.53589743589743599</v>
      </c>
      <c r="X71">
        <f t="shared" si="18"/>
        <v>0.42262678803641096</v>
      </c>
    </row>
    <row r="72" spans="1:24" x14ac:dyDescent="0.3">
      <c r="A72" s="2">
        <v>71</v>
      </c>
      <c r="B72" s="2" t="s">
        <v>3</v>
      </c>
      <c r="C72" s="2">
        <f>Découpe!C72-Découpe!D72-Découpe!E72</f>
        <v>1580</v>
      </c>
      <c r="D72" s="13">
        <v>21</v>
      </c>
      <c r="E72" s="13">
        <v>42</v>
      </c>
      <c r="F72" s="14">
        <v>70</v>
      </c>
      <c r="G72" s="14">
        <v>11</v>
      </c>
      <c r="H72" s="15">
        <v>9</v>
      </c>
      <c r="I72" s="14">
        <v>16</v>
      </c>
      <c r="J72" s="15">
        <v>6</v>
      </c>
      <c r="L72" s="14">
        <v>19</v>
      </c>
      <c r="N72" s="15">
        <v>19</v>
      </c>
      <c r="O72" s="16">
        <f t="shared" si="10"/>
        <v>150</v>
      </c>
      <c r="P72" s="1">
        <f t="shared" si="11"/>
        <v>960</v>
      </c>
      <c r="Q72">
        <f t="shared" si="12"/>
        <v>776</v>
      </c>
      <c r="R72">
        <f t="shared" si="13"/>
        <v>660</v>
      </c>
      <c r="S72">
        <f t="shared" si="14"/>
        <v>316</v>
      </c>
      <c r="T72">
        <f t="shared" si="15"/>
        <v>303.40000000000003</v>
      </c>
      <c r="U72" s="21">
        <f t="shared" si="19"/>
        <v>0.85051546391752575</v>
      </c>
      <c r="V72" s="21">
        <f t="shared" si="16"/>
        <v>0.96012658227848102</v>
      </c>
      <c r="W72" s="21">
        <f t="shared" si="17"/>
        <v>0.47878787878787876</v>
      </c>
      <c r="X72">
        <f t="shared" si="18"/>
        <v>0.39097938144329897</v>
      </c>
    </row>
    <row r="73" spans="1:24" x14ac:dyDescent="0.3">
      <c r="A73" s="2">
        <v>72</v>
      </c>
      <c r="B73" s="2" t="s">
        <v>5</v>
      </c>
      <c r="C73" s="2">
        <f>Découpe!C73-Découpe!D73-Découpe!E73</f>
        <v>1607</v>
      </c>
      <c r="D73" s="13">
        <v>21</v>
      </c>
      <c r="E73" s="13">
        <v>33</v>
      </c>
      <c r="F73" s="14">
        <v>65</v>
      </c>
      <c r="G73" s="14">
        <v>14</v>
      </c>
      <c r="H73" s="15">
        <v>14</v>
      </c>
      <c r="I73" s="14">
        <v>19</v>
      </c>
      <c r="J73" s="15">
        <v>9</v>
      </c>
      <c r="K73" s="14">
        <v>49</v>
      </c>
      <c r="L73" s="14">
        <v>25</v>
      </c>
      <c r="N73" s="15">
        <v>15</v>
      </c>
      <c r="O73" s="16">
        <f t="shared" si="10"/>
        <v>150</v>
      </c>
      <c r="P73" s="1">
        <f t="shared" si="11"/>
        <v>960</v>
      </c>
      <c r="Q73">
        <f t="shared" si="12"/>
        <v>772</v>
      </c>
      <c r="R73">
        <f t="shared" si="13"/>
        <v>600</v>
      </c>
      <c r="S73">
        <f t="shared" si="14"/>
        <v>321.40000000000003</v>
      </c>
      <c r="T73">
        <f t="shared" si="15"/>
        <v>310.60000000000002</v>
      </c>
      <c r="U73" s="21">
        <f t="shared" si="19"/>
        <v>0.77720207253886009</v>
      </c>
      <c r="V73" s="21">
        <f t="shared" si="16"/>
        <v>0.96639701306782821</v>
      </c>
      <c r="W73" s="21">
        <f t="shared" si="17"/>
        <v>0.53566666666666674</v>
      </c>
      <c r="X73">
        <f t="shared" si="18"/>
        <v>0.4023316062176166</v>
      </c>
    </row>
    <row r="74" spans="1:24" x14ac:dyDescent="0.3">
      <c r="A74" s="2">
        <v>73</v>
      </c>
      <c r="B74" s="2" t="s">
        <v>2</v>
      </c>
      <c r="C74" s="2">
        <f>Découpe!C74-Découpe!D74-Découpe!E74</f>
        <v>1559</v>
      </c>
      <c r="D74" s="13">
        <v>20</v>
      </c>
      <c r="E74" s="13">
        <v>21</v>
      </c>
      <c r="F74" s="14">
        <v>53</v>
      </c>
      <c r="G74" s="14">
        <v>18</v>
      </c>
      <c r="H74" s="15">
        <v>10</v>
      </c>
      <c r="I74" s="14">
        <v>14</v>
      </c>
      <c r="J74" s="15">
        <v>5</v>
      </c>
      <c r="K74" s="14">
        <v>41</v>
      </c>
      <c r="L74" s="14">
        <v>22</v>
      </c>
      <c r="N74" s="15">
        <v>19</v>
      </c>
      <c r="O74" s="16">
        <f t="shared" si="10"/>
        <v>150</v>
      </c>
      <c r="P74" s="1">
        <f t="shared" si="11"/>
        <v>960</v>
      </c>
      <c r="Q74">
        <f t="shared" si="12"/>
        <v>776</v>
      </c>
      <c r="R74">
        <f t="shared" si="13"/>
        <v>628</v>
      </c>
      <c r="S74">
        <f t="shared" si="14"/>
        <v>311.8</v>
      </c>
      <c r="T74">
        <f t="shared" si="15"/>
        <v>303.60000000000002</v>
      </c>
      <c r="U74" s="21">
        <f t="shared" si="19"/>
        <v>0.80927835051546393</v>
      </c>
      <c r="V74" s="21">
        <f t="shared" si="16"/>
        <v>0.97370109044259145</v>
      </c>
      <c r="W74" s="21">
        <f t="shared" si="17"/>
        <v>0.4964968152866242</v>
      </c>
      <c r="X74">
        <f t="shared" si="18"/>
        <v>0.39123711340206191</v>
      </c>
    </row>
    <row r="75" spans="1:24" x14ac:dyDescent="0.3">
      <c r="A75" s="2">
        <v>74</v>
      </c>
      <c r="B75" s="2" t="s">
        <v>3</v>
      </c>
      <c r="C75" s="2">
        <f>Découpe!C75-Découpe!D75-Découpe!E75</f>
        <v>1602</v>
      </c>
      <c r="D75" s="13">
        <v>16</v>
      </c>
      <c r="E75" s="13">
        <v>26</v>
      </c>
      <c r="F75" s="14">
        <v>75</v>
      </c>
      <c r="G75" s="14">
        <v>9</v>
      </c>
      <c r="H75" s="15">
        <v>10</v>
      </c>
      <c r="I75" s="14">
        <v>21</v>
      </c>
      <c r="J75" s="15">
        <v>8</v>
      </c>
      <c r="K75" s="14">
        <v>10</v>
      </c>
      <c r="L75" s="14">
        <v>20</v>
      </c>
      <c r="N75" s="15">
        <v>16</v>
      </c>
      <c r="O75" s="16">
        <f t="shared" si="10"/>
        <v>150</v>
      </c>
      <c r="P75" s="1">
        <f t="shared" si="11"/>
        <v>960</v>
      </c>
      <c r="Q75">
        <f t="shared" si="12"/>
        <v>776</v>
      </c>
      <c r="R75">
        <f t="shared" si="13"/>
        <v>641</v>
      </c>
      <c r="S75">
        <f t="shared" si="14"/>
        <v>320.40000000000003</v>
      </c>
      <c r="T75">
        <f t="shared" si="15"/>
        <v>312</v>
      </c>
      <c r="U75" s="21">
        <f t="shared" si="19"/>
        <v>0.8260309278350515</v>
      </c>
      <c r="V75" s="21">
        <f t="shared" si="16"/>
        <v>0.97378277153558057</v>
      </c>
      <c r="W75" s="21">
        <f t="shared" si="17"/>
        <v>0.49984399375975042</v>
      </c>
      <c r="X75">
        <f t="shared" si="18"/>
        <v>0.40206185567010311</v>
      </c>
    </row>
    <row r="76" spans="1:24" x14ac:dyDescent="0.3">
      <c r="A76" s="2">
        <v>75</v>
      </c>
      <c r="B76" s="2" t="s">
        <v>3</v>
      </c>
      <c r="C76" s="2">
        <f>Découpe!C76-Découpe!D76-Découpe!E76</f>
        <v>1471</v>
      </c>
      <c r="D76" s="13">
        <v>17</v>
      </c>
      <c r="E76" s="13">
        <v>25</v>
      </c>
      <c r="F76" s="14">
        <v>62</v>
      </c>
      <c r="G76" s="14">
        <v>17</v>
      </c>
      <c r="H76" s="15">
        <v>7</v>
      </c>
      <c r="I76" s="14">
        <v>20</v>
      </c>
      <c r="J76" s="15">
        <v>8</v>
      </c>
      <c r="L76" s="14">
        <v>23</v>
      </c>
      <c r="N76" s="15">
        <v>17</v>
      </c>
      <c r="O76" s="16">
        <f t="shared" si="10"/>
        <v>150</v>
      </c>
      <c r="P76" s="1">
        <f t="shared" si="11"/>
        <v>960</v>
      </c>
      <c r="Q76">
        <f t="shared" si="12"/>
        <v>778</v>
      </c>
      <c r="R76">
        <f t="shared" si="13"/>
        <v>656</v>
      </c>
      <c r="S76">
        <f t="shared" si="14"/>
        <v>294.2</v>
      </c>
      <c r="T76">
        <f t="shared" si="15"/>
        <v>285.8</v>
      </c>
      <c r="U76" s="21">
        <f t="shared" si="19"/>
        <v>0.84318766066838047</v>
      </c>
      <c r="V76" s="21">
        <f t="shared" si="16"/>
        <v>0.97144799456152275</v>
      </c>
      <c r="W76" s="21">
        <f t="shared" si="17"/>
        <v>0.44847560975609757</v>
      </c>
      <c r="X76">
        <f t="shared" si="18"/>
        <v>0.36735218508997425</v>
      </c>
    </row>
    <row r="77" spans="1:24" x14ac:dyDescent="0.3">
      <c r="A77" s="2">
        <v>76</v>
      </c>
      <c r="B77" s="2" t="s">
        <v>5</v>
      </c>
      <c r="C77" s="2">
        <f>Découpe!C77-Découpe!D77-Découpe!E77</f>
        <v>1536</v>
      </c>
      <c r="D77" s="13">
        <v>19</v>
      </c>
      <c r="E77" s="13">
        <v>25</v>
      </c>
      <c r="F77" s="14">
        <v>68</v>
      </c>
      <c r="G77" s="14">
        <v>16</v>
      </c>
      <c r="H77" s="15">
        <v>12</v>
      </c>
      <c r="I77" s="14">
        <v>18</v>
      </c>
      <c r="J77" s="15">
        <v>7</v>
      </c>
      <c r="K77" s="14">
        <v>10</v>
      </c>
      <c r="L77" s="14">
        <v>30</v>
      </c>
      <c r="N77" s="15">
        <v>15</v>
      </c>
      <c r="O77" s="16">
        <f t="shared" si="10"/>
        <v>150</v>
      </c>
      <c r="P77" s="1">
        <f t="shared" si="11"/>
        <v>960</v>
      </c>
      <c r="Q77">
        <f t="shared" si="12"/>
        <v>776</v>
      </c>
      <c r="R77">
        <f t="shared" si="13"/>
        <v>634</v>
      </c>
      <c r="S77">
        <f t="shared" si="14"/>
        <v>307.20000000000005</v>
      </c>
      <c r="T77">
        <f t="shared" si="15"/>
        <v>298.40000000000003</v>
      </c>
      <c r="U77" s="21">
        <f t="shared" si="19"/>
        <v>0.8170103092783505</v>
      </c>
      <c r="V77" s="21">
        <f t="shared" si="16"/>
        <v>0.97135416666666663</v>
      </c>
      <c r="W77" s="21">
        <f t="shared" si="17"/>
        <v>0.48454258675078871</v>
      </c>
      <c r="X77">
        <f t="shared" si="18"/>
        <v>0.38453608247422683</v>
      </c>
    </row>
    <row r="78" spans="1:24" x14ac:dyDescent="0.3">
      <c r="A78" s="2">
        <v>77</v>
      </c>
      <c r="B78" s="2" t="s">
        <v>2</v>
      </c>
      <c r="C78" s="2">
        <f>Découpe!C78-Découpe!D78-Découpe!E78</f>
        <v>1514</v>
      </c>
      <c r="D78" s="13">
        <v>29</v>
      </c>
      <c r="E78" s="13">
        <v>35</v>
      </c>
      <c r="F78" s="14">
        <v>79</v>
      </c>
      <c r="G78" s="14">
        <v>11</v>
      </c>
      <c r="H78" s="15">
        <v>5</v>
      </c>
      <c r="I78" s="14">
        <v>8</v>
      </c>
      <c r="J78" s="15">
        <v>8</v>
      </c>
      <c r="K78" s="14">
        <v>45</v>
      </c>
      <c r="L78" s="14">
        <v>30</v>
      </c>
      <c r="N78" s="15">
        <v>16</v>
      </c>
      <c r="O78" s="16">
        <f t="shared" si="10"/>
        <v>150</v>
      </c>
      <c r="P78" s="1">
        <f t="shared" si="11"/>
        <v>960</v>
      </c>
      <c r="Q78">
        <f t="shared" si="12"/>
        <v>781</v>
      </c>
      <c r="R78">
        <f t="shared" si="13"/>
        <v>608</v>
      </c>
      <c r="S78">
        <f t="shared" si="14"/>
        <v>302.8</v>
      </c>
      <c r="T78">
        <f t="shared" si="15"/>
        <v>290</v>
      </c>
      <c r="U78" s="21">
        <f t="shared" si="19"/>
        <v>0.77848911651728558</v>
      </c>
      <c r="V78" s="21">
        <f t="shared" si="16"/>
        <v>0.95772787318361952</v>
      </c>
      <c r="W78" s="21">
        <f t="shared" si="17"/>
        <v>0.49802631578947371</v>
      </c>
      <c r="X78">
        <f t="shared" si="18"/>
        <v>0.37131882202304739</v>
      </c>
    </row>
    <row r="79" spans="1:24" x14ac:dyDescent="0.3">
      <c r="A79" s="2">
        <v>78</v>
      </c>
      <c r="B79" s="2" t="s">
        <v>4</v>
      </c>
      <c r="C79" s="2">
        <f>Découpe!C79-Découpe!D79-Découpe!E79</f>
        <v>1420</v>
      </c>
      <c r="D79" s="13">
        <v>19</v>
      </c>
      <c r="E79" s="13">
        <v>36</v>
      </c>
      <c r="F79" s="14">
        <v>92</v>
      </c>
      <c r="G79" s="14">
        <v>17</v>
      </c>
      <c r="H79" s="15">
        <v>13</v>
      </c>
      <c r="I79" s="14">
        <v>23</v>
      </c>
      <c r="J79" s="15">
        <v>6</v>
      </c>
      <c r="K79" s="14">
        <v>26</v>
      </c>
      <c r="L79" s="14">
        <v>27</v>
      </c>
      <c r="N79" s="15">
        <v>17</v>
      </c>
      <c r="O79" s="16">
        <f t="shared" si="10"/>
        <v>150</v>
      </c>
      <c r="P79" s="1">
        <f t="shared" si="11"/>
        <v>960</v>
      </c>
      <c r="Q79">
        <f t="shared" si="12"/>
        <v>774</v>
      </c>
      <c r="R79">
        <f t="shared" si="13"/>
        <v>589</v>
      </c>
      <c r="S79">
        <f t="shared" si="14"/>
        <v>284</v>
      </c>
      <c r="T79">
        <f t="shared" si="15"/>
        <v>273</v>
      </c>
      <c r="U79" s="21">
        <f t="shared" si="19"/>
        <v>0.76098191214470279</v>
      </c>
      <c r="V79" s="21">
        <f t="shared" si="16"/>
        <v>0.96126760563380287</v>
      </c>
      <c r="W79" s="21">
        <f t="shared" si="17"/>
        <v>0.48217317487266553</v>
      </c>
      <c r="X79">
        <f t="shared" si="18"/>
        <v>0.3527131782945736</v>
      </c>
    </row>
    <row r="80" spans="1:24" x14ac:dyDescent="0.3">
      <c r="A80" s="2">
        <v>79</v>
      </c>
      <c r="B80" s="2" t="s">
        <v>3</v>
      </c>
      <c r="C80" s="2">
        <f>Découpe!C80-Découpe!D80-Découpe!E80</f>
        <v>1443</v>
      </c>
      <c r="D80" s="13">
        <v>19</v>
      </c>
      <c r="E80" s="13">
        <v>44</v>
      </c>
      <c r="F80" s="14">
        <v>69</v>
      </c>
      <c r="G80" s="14">
        <v>15</v>
      </c>
      <c r="H80" s="15">
        <v>11</v>
      </c>
      <c r="I80" s="14">
        <v>22</v>
      </c>
      <c r="J80" s="15">
        <v>8</v>
      </c>
      <c r="K80" s="14">
        <v>22</v>
      </c>
      <c r="L80" s="14">
        <v>19</v>
      </c>
      <c r="N80" s="15">
        <v>20</v>
      </c>
      <c r="O80" s="16">
        <f t="shared" si="10"/>
        <v>150</v>
      </c>
      <c r="P80" s="1">
        <f t="shared" si="11"/>
        <v>960</v>
      </c>
      <c r="Q80">
        <f t="shared" si="12"/>
        <v>771</v>
      </c>
      <c r="R80">
        <f t="shared" si="13"/>
        <v>624</v>
      </c>
      <c r="S80">
        <f t="shared" si="14"/>
        <v>288.60000000000002</v>
      </c>
      <c r="T80">
        <f t="shared" si="15"/>
        <v>276</v>
      </c>
      <c r="U80" s="21">
        <f t="shared" si="19"/>
        <v>0.80933852140077822</v>
      </c>
      <c r="V80" s="21">
        <f t="shared" si="16"/>
        <v>0.95634095634095639</v>
      </c>
      <c r="W80" s="21">
        <f t="shared" si="17"/>
        <v>0.46250000000000002</v>
      </c>
      <c r="X80">
        <f t="shared" si="18"/>
        <v>0.35797665369649811</v>
      </c>
    </row>
    <row r="81" spans="1:24" x14ac:dyDescent="0.3">
      <c r="A81" s="2">
        <v>80</v>
      </c>
      <c r="B81" s="2" t="s">
        <v>3</v>
      </c>
      <c r="C81" s="2">
        <f>Découpe!C81-Découpe!D81-Découpe!E81</f>
        <v>1499</v>
      </c>
      <c r="D81" s="13">
        <v>29</v>
      </c>
      <c r="E81" s="13">
        <v>17</v>
      </c>
      <c r="F81" s="14">
        <v>66</v>
      </c>
      <c r="G81" s="14">
        <v>12</v>
      </c>
      <c r="H81" s="15">
        <v>12</v>
      </c>
      <c r="I81" s="14">
        <v>24</v>
      </c>
      <c r="J81" s="15">
        <v>6</v>
      </c>
      <c r="L81" s="14">
        <v>28</v>
      </c>
      <c r="N81" s="15">
        <v>15</v>
      </c>
      <c r="O81" s="16">
        <f t="shared" si="10"/>
        <v>150</v>
      </c>
      <c r="P81" s="1">
        <f t="shared" si="11"/>
        <v>960</v>
      </c>
      <c r="Q81">
        <f t="shared" si="12"/>
        <v>777</v>
      </c>
      <c r="R81">
        <f t="shared" si="13"/>
        <v>647</v>
      </c>
      <c r="S81">
        <f t="shared" si="14"/>
        <v>299.8</v>
      </c>
      <c r="T81">
        <f t="shared" si="15"/>
        <v>290.60000000000002</v>
      </c>
      <c r="U81" s="21">
        <f t="shared" si="19"/>
        <v>0.83268983268983265</v>
      </c>
      <c r="V81" s="21">
        <f t="shared" si="16"/>
        <v>0.96931287525016674</v>
      </c>
      <c r="W81" s="21">
        <f t="shared" si="17"/>
        <v>0.46336939721792891</v>
      </c>
      <c r="X81">
        <f t="shared" si="18"/>
        <v>0.37400257400257397</v>
      </c>
    </row>
    <row r="82" spans="1:24" x14ac:dyDescent="0.3">
      <c r="A82" s="2">
        <v>81</v>
      </c>
      <c r="B82" s="2" t="s">
        <v>3</v>
      </c>
      <c r="C82" s="2">
        <f>Découpe!C82-Découpe!D82-Découpe!E82</f>
        <v>1586</v>
      </c>
      <c r="D82" s="13">
        <v>21</v>
      </c>
      <c r="E82" s="13">
        <v>25</v>
      </c>
      <c r="F82" s="14">
        <v>68</v>
      </c>
      <c r="G82" s="14">
        <v>14</v>
      </c>
      <c r="H82" s="15">
        <v>8</v>
      </c>
      <c r="I82" s="14">
        <v>22</v>
      </c>
      <c r="J82" s="15">
        <v>8</v>
      </c>
      <c r="L82" s="14">
        <v>22</v>
      </c>
      <c r="N82" s="15">
        <v>18</v>
      </c>
      <c r="O82" s="16">
        <f t="shared" si="10"/>
        <v>150</v>
      </c>
      <c r="P82" s="1">
        <f t="shared" si="11"/>
        <v>960</v>
      </c>
      <c r="Q82">
        <f t="shared" si="12"/>
        <v>776</v>
      </c>
      <c r="R82">
        <f t="shared" si="13"/>
        <v>650</v>
      </c>
      <c r="S82">
        <f t="shared" si="14"/>
        <v>317.20000000000005</v>
      </c>
      <c r="T82">
        <f t="shared" si="15"/>
        <v>308</v>
      </c>
      <c r="U82" s="21">
        <f t="shared" si="19"/>
        <v>0.83762886597938147</v>
      </c>
      <c r="V82" s="21">
        <f t="shared" si="16"/>
        <v>0.9709962168978562</v>
      </c>
      <c r="W82" s="21">
        <f t="shared" si="17"/>
        <v>0.48800000000000004</v>
      </c>
      <c r="X82">
        <f t="shared" si="18"/>
        <v>0.39690721649484539</v>
      </c>
    </row>
    <row r="83" spans="1:24" x14ac:dyDescent="0.3">
      <c r="A83" s="2">
        <v>82</v>
      </c>
      <c r="B83" s="2" t="s">
        <v>5</v>
      </c>
      <c r="C83" s="2">
        <f>Découpe!C83-Découpe!D83-Découpe!E83</f>
        <v>1512</v>
      </c>
      <c r="D83" s="13">
        <v>23</v>
      </c>
      <c r="E83" s="13">
        <v>25</v>
      </c>
      <c r="F83" s="14">
        <v>75</v>
      </c>
      <c r="G83" s="14">
        <v>8</v>
      </c>
      <c r="H83" s="15">
        <v>9</v>
      </c>
      <c r="I83" s="14">
        <v>23</v>
      </c>
      <c r="J83" s="15">
        <v>8</v>
      </c>
      <c r="K83" s="14">
        <v>11</v>
      </c>
      <c r="L83" s="14">
        <v>19</v>
      </c>
      <c r="N83" s="15">
        <v>20</v>
      </c>
      <c r="O83" s="16">
        <f t="shared" si="10"/>
        <v>150</v>
      </c>
      <c r="P83" s="1">
        <f t="shared" si="11"/>
        <v>960</v>
      </c>
      <c r="Q83">
        <f t="shared" si="12"/>
        <v>773</v>
      </c>
      <c r="R83">
        <f t="shared" si="13"/>
        <v>637</v>
      </c>
      <c r="S83">
        <f t="shared" si="14"/>
        <v>302.40000000000003</v>
      </c>
      <c r="T83">
        <f t="shared" si="15"/>
        <v>292.8</v>
      </c>
      <c r="U83" s="21">
        <f t="shared" si="19"/>
        <v>0.82406209573091849</v>
      </c>
      <c r="V83" s="21">
        <f t="shared" si="16"/>
        <v>0.96825396825396826</v>
      </c>
      <c r="W83" s="21">
        <f t="shared" si="17"/>
        <v>0.47472527472527476</v>
      </c>
      <c r="X83">
        <f t="shared" si="18"/>
        <v>0.37878395860284608</v>
      </c>
    </row>
    <row r="84" spans="1:24" x14ac:dyDescent="0.3">
      <c r="A84" s="2">
        <v>83</v>
      </c>
      <c r="B84" s="2" t="s">
        <v>4</v>
      </c>
      <c r="C84" s="2">
        <f>Découpe!C84-Découpe!D84-Découpe!E84</f>
        <v>1565</v>
      </c>
      <c r="D84" s="13">
        <v>22</v>
      </c>
      <c r="E84" s="13">
        <v>25</v>
      </c>
      <c r="F84" s="14">
        <v>74</v>
      </c>
      <c r="G84" s="14">
        <v>11</v>
      </c>
      <c r="H84" s="15">
        <v>13</v>
      </c>
      <c r="I84" s="14">
        <v>21</v>
      </c>
      <c r="J84" s="15">
        <v>5</v>
      </c>
      <c r="K84" s="14">
        <v>21</v>
      </c>
      <c r="L84" s="14">
        <v>24</v>
      </c>
      <c r="N84" s="15">
        <v>18</v>
      </c>
      <c r="O84" s="16">
        <f t="shared" si="10"/>
        <v>150</v>
      </c>
      <c r="P84" s="1">
        <f t="shared" si="11"/>
        <v>960</v>
      </c>
      <c r="Q84">
        <f t="shared" si="12"/>
        <v>774</v>
      </c>
      <c r="R84">
        <f t="shared" si="13"/>
        <v>623</v>
      </c>
      <c r="S84">
        <f t="shared" si="14"/>
        <v>313</v>
      </c>
      <c r="T84">
        <f t="shared" si="15"/>
        <v>303.60000000000002</v>
      </c>
      <c r="U84" s="21">
        <f t="shared" si="19"/>
        <v>0.80490956072351416</v>
      </c>
      <c r="V84" s="21">
        <f t="shared" si="16"/>
        <v>0.96996805111821083</v>
      </c>
      <c r="W84" s="21">
        <f t="shared" si="17"/>
        <v>0.5024077046548957</v>
      </c>
      <c r="X84">
        <f t="shared" si="18"/>
        <v>0.39224806201550383</v>
      </c>
    </row>
    <row r="85" spans="1:24" x14ac:dyDescent="0.3">
      <c r="A85" s="2">
        <v>84</v>
      </c>
      <c r="B85" s="2" t="s">
        <v>3</v>
      </c>
      <c r="C85" s="2">
        <f>Découpe!C85-Découpe!D85-Découpe!E85</f>
        <v>1466</v>
      </c>
      <c r="D85" s="13">
        <v>20</v>
      </c>
      <c r="E85" s="13">
        <v>28</v>
      </c>
      <c r="F85" s="14">
        <v>67</v>
      </c>
      <c r="G85" s="14">
        <v>13</v>
      </c>
      <c r="H85" s="15">
        <v>10</v>
      </c>
      <c r="I85" s="14">
        <v>15</v>
      </c>
      <c r="J85" s="15">
        <v>8</v>
      </c>
      <c r="K85" s="14">
        <v>14</v>
      </c>
      <c r="L85" s="14">
        <v>20</v>
      </c>
      <c r="N85" s="15">
        <v>20</v>
      </c>
      <c r="O85" s="16">
        <f t="shared" si="10"/>
        <v>150</v>
      </c>
      <c r="P85" s="1">
        <f t="shared" si="11"/>
        <v>960</v>
      </c>
      <c r="Q85">
        <f t="shared" si="12"/>
        <v>772</v>
      </c>
      <c r="R85">
        <f t="shared" si="13"/>
        <v>643</v>
      </c>
      <c r="S85">
        <f t="shared" si="14"/>
        <v>293.2</v>
      </c>
      <c r="T85">
        <f t="shared" si="15"/>
        <v>283.60000000000002</v>
      </c>
      <c r="U85" s="21">
        <f t="shared" si="19"/>
        <v>0.83290155440414504</v>
      </c>
      <c r="V85" s="21">
        <f t="shared" si="16"/>
        <v>0.96725784447476126</v>
      </c>
      <c r="W85" s="21">
        <f t="shared" si="17"/>
        <v>0.45598755832037324</v>
      </c>
      <c r="X85">
        <f t="shared" si="18"/>
        <v>0.36735751295336783</v>
      </c>
    </row>
    <row r="86" spans="1:24" x14ac:dyDescent="0.3">
      <c r="A86" s="2">
        <v>85</v>
      </c>
      <c r="B86" s="2" t="s">
        <v>2</v>
      </c>
      <c r="C86" s="2">
        <f>Découpe!C86-Découpe!D86-Découpe!E86</f>
        <v>1483</v>
      </c>
      <c r="D86" s="13">
        <v>21</v>
      </c>
      <c r="E86" s="13">
        <v>21</v>
      </c>
      <c r="F86" s="14">
        <v>76</v>
      </c>
      <c r="G86" s="14">
        <v>11</v>
      </c>
      <c r="H86" s="15">
        <v>13</v>
      </c>
      <c r="I86" s="14">
        <v>26</v>
      </c>
      <c r="J86" s="15">
        <v>9</v>
      </c>
      <c r="K86" s="14">
        <v>27</v>
      </c>
      <c r="L86" s="14">
        <v>16</v>
      </c>
      <c r="N86" s="15">
        <v>19</v>
      </c>
      <c r="O86" s="16">
        <f t="shared" si="10"/>
        <v>150</v>
      </c>
      <c r="P86" s="1">
        <f t="shared" si="11"/>
        <v>960</v>
      </c>
      <c r="Q86">
        <f t="shared" si="12"/>
        <v>769</v>
      </c>
      <c r="R86">
        <f t="shared" si="13"/>
        <v>613</v>
      </c>
      <c r="S86">
        <f t="shared" si="14"/>
        <v>296.60000000000002</v>
      </c>
      <c r="T86">
        <f t="shared" si="15"/>
        <v>288.2</v>
      </c>
      <c r="U86" s="21">
        <f t="shared" si="19"/>
        <v>0.79713914174252276</v>
      </c>
      <c r="V86" s="21">
        <f t="shared" si="16"/>
        <v>0.9716790289952798</v>
      </c>
      <c r="W86" s="21">
        <f t="shared" si="17"/>
        <v>0.48384991843393155</v>
      </c>
      <c r="X86">
        <f t="shared" si="18"/>
        <v>0.37477243172951891</v>
      </c>
    </row>
    <row r="87" spans="1:24" x14ac:dyDescent="0.3">
      <c r="A87" s="2">
        <v>86</v>
      </c>
      <c r="B87" s="2" t="s">
        <v>5</v>
      </c>
      <c r="C87" s="2">
        <f>Découpe!C87-Découpe!D87-Découpe!E87</f>
        <v>1515</v>
      </c>
      <c r="D87" s="13">
        <v>15</v>
      </c>
      <c r="E87" s="13">
        <v>23</v>
      </c>
      <c r="F87" s="14">
        <v>92</v>
      </c>
      <c r="G87" s="14">
        <v>16</v>
      </c>
      <c r="H87" s="15">
        <v>11</v>
      </c>
      <c r="I87" s="14">
        <v>23</v>
      </c>
      <c r="J87" s="15">
        <v>9</v>
      </c>
      <c r="K87" s="14">
        <v>36</v>
      </c>
      <c r="L87" s="14">
        <v>19</v>
      </c>
      <c r="N87" s="15">
        <v>17</v>
      </c>
      <c r="O87" s="16">
        <f t="shared" si="10"/>
        <v>150</v>
      </c>
      <c r="P87" s="1">
        <f t="shared" si="11"/>
        <v>960</v>
      </c>
      <c r="Q87">
        <f t="shared" si="12"/>
        <v>773</v>
      </c>
      <c r="R87">
        <f t="shared" si="13"/>
        <v>587</v>
      </c>
      <c r="S87">
        <f t="shared" si="14"/>
        <v>303</v>
      </c>
      <c r="T87">
        <f t="shared" si="15"/>
        <v>295.40000000000003</v>
      </c>
      <c r="U87" s="21">
        <f t="shared" si="19"/>
        <v>0.75937904269081502</v>
      </c>
      <c r="V87" s="21">
        <f t="shared" si="16"/>
        <v>0.97491749174917497</v>
      </c>
      <c r="W87" s="21">
        <f t="shared" si="17"/>
        <v>0.51618398637137985</v>
      </c>
      <c r="X87">
        <f t="shared" si="18"/>
        <v>0.38214747736093146</v>
      </c>
    </row>
    <row r="88" spans="1:24" x14ac:dyDescent="0.3">
      <c r="A88" s="2">
        <v>87</v>
      </c>
      <c r="B88" s="2" t="s">
        <v>3</v>
      </c>
      <c r="C88" s="2">
        <f>Découpe!C88-Découpe!D88-Découpe!E88</f>
        <v>1521</v>
      </c>
      <c r="D88" s="13">
        <v>19</v>
      </c>
      <c r="E88" s="13">
        <v>20</v>
      </c>
      <c r="F88" s="14">
        <v>84</v>
      </c>
      <c r="G88" s="14">
        <v>19</v>
      </c>
      <c r="H88" s="15">
        <v>7</v>
      </c>
      <c r="I88" s="14">
        <v>12</v>
      </c>
      <c r="J88" s="15">
        <v>5</v>
      </c>
      <c r="K88" s="14">
        <v>47</v>
      </c>
      <c r="L88" s="14">
        <v>25</v>
      </c>
      <c r="N88" s="15">
        <v>20</v>
      </c>
      <c r="O88" s="16">
        <f t="shared" si="10"/>
        <v>150</v>
      </c>
      <c r="P88" s="1">
        <f t="shared" si="11"/>
        <v>960</v>
      </c>
      <c r="Q88">
        <f t="shared" si="12"/>
        <v>778</v>
      </c>
      <c r="R88">
        <f t="shared" si="13"/>
        <v>591</v>
      </c>
      <c r="S88">
        <f t="shared" si="14"/>
        <v>304.2</v>
      </c>
      <c r="T88">
        <f t="shared" si="15"/>
        <v>296.40000000000003</v>
      </c>
      <c r="U88" s="21">
        <f t="shared" si="19"/>
        <v>0.75964010282776351</v>
      </c>
      <c r="V88" s="21">
        <f t="shared" si="16"/>
        <v>0.97435897435897434</v>
      </c>
      <c r="W88" s="21">
        <f t="shared" si="17"/>
        <v>0.51472081218274113</v>
      </c>
      <c r="X88">
        <f t="shared" si="18"/>
        <v>0.38097686375321332</v>
      </c>
    </row>
    <row r="89" spans="1:24" x14ac:dyDescent="0.3">
      <c r="A89" s="2">
        <v>88</v>
      </c>
      <c r="B89" s="2" t="s">
        <v>3</v>
      </c>
      <c r="C89" s="2">
        <f>Découpe!C89-Découpe!D89-Découpe!E89</f>
        <v>1551</v>
      </c>
      <c r="D89" s="13">
        <v>26</v>
      </c>
      <c r="E89" s="13">
        <v>25</v>
      </c>
      <c r="F89" s="14">
        <v>82</v>
      </c>
      <c r="G89" s="14">
        <v>16</v>
      </c>
      <c r="H89" s="15">
        <v>8</v>
      </c>
      <c r="I89" s="14">
        <v>16</v>
      </c>
      <c r="J89" s="15">
        <v>8</v>
      </c>
      <c r="L89" s="14">
        <v>16</v>
      </c>
      <c r="N89" s="15">
        <v>16</v>
      </c>
      <c r="O89" s="16">
        <f t="shared" si="10"/>
        <v>150</v>
      </c>
      <c r="P89" s="1">
        <f t="shared" si="11"/>
        <v>960</v>
      </c>
      <c r="Q89">
        <f t="shared" si="12"/>
        <v>778</v>
      </c>
      <c r="R89">
        <f t="shared" si="13"/>
        <v>648</v>
      </c>
      <c r="S89">
        <f t="shared" si="14"/>
        <v>310.20000000000005</v>
      </c>
      <c r="T89">
        <f t="shared" si="15"/>
        <v>300</v>
      </c>
      <c r="U89" s="21">
        <f t="shared" si="19"/>
        <v>0.83290488431876608</v>
      </c>
      <c r="V89" s="21">
        <f t="shared" si="16"/>
        <v>0.96711798839458418</v>
      </c>
      <c r="W89" s="21">
        <f t="shared" si="17"/>
        <v>0.4787037037037038</v>
      </c>
      <c r="X89">
        <f t="shared" si="18"/>
        <v>0.38560411311053994</v>
      </c>
    </row>
    <row r="90" spans="1:24" x14ac:dyDescent="0.3">
      <c r="A90" s="2">
        <v>89</v>
      </c>
      <c r="B90" s="2" t="s">
        <v>5</v>
      </c>
      <c r="C90" s="2">
        <f>Découpe!C90-Découpe!D90-Découpe!E90</f>
        <v>1377</v>
      </c>
      <c r="D90" s="13">
        <v>22</v>
      </c>
      <c r="E90" s="13">
        <v>27</v>
      </c>
      <c r="F90" s="14">
        <v>65</v>
      </c>
      <c r="G90" s="14">
        <v>9</v>
      </c>
      <c r="H90" s="15">
        <v>6</v>
      </c>
      <c r="I90" s="14">
        <v>16</v>
      </c>
      <c r="J90" s="15">
        <v>5</v>
      </c>
      <c r="K90" s="14">
        <v>40</v>
      </c>
      <c r="L90" s="14">
        <v>28</v>
      </c>
      <c r="N90" s="15">
        <v>16</v>
      </c>
      <c r="O90" s="16">
        <f t="shared" si="10"/>
        <v>150</v>
      </c>
      <c r="P90" s="1">
        <f t="shared" si="11"/>
        <v>960</v>
      </c>
      <c r="Q90">
        <f t="shared" si="12"/>
        <v>783</v>
      </c>
      <c r="R90">
        <f t="shared" si="13"/>
        <v>625</v>
      </c>
      <c r="S90">
        <f t="shared" si="14"/>
        <v>275.40000000000003</v>
      </c>
      <c r="T90">
        <f t="shared" si="15"/>
        <v>265.60000000000002</v>
      </c>
      <c r="U90" s="21">
        <f t="shared" si="19"/>
        <v>0.79821200510855683</v>
      </c>
      <c r="V90" s="21">
        <f t="shared" si="16"/>
        <v>0.96441539578794477</v>
      </c>
      <c r="W90" s="21">
        <f t="shared" si="17"/>
        <v>0.44064000000000003</v>
      </c>
      <c r="X90">
        <f t="shared" si="18"/>
        <v>0.33920817369093231</v>
      </c>
    </row>
    <row r="91" spans="1:24" x14ac:dyDescent="0.3">
      <c r="A91" s="2">
        <v>90</v>
      </c>
      <c r="B91" s="2" t="s">
        <v>5</v>
      </c>
      <c r="C91" s="2">
        <f>Découpe!C91-Découpe!D91-Découpe!E91</f>
        <v>1403</v>
      </c>
      <c r="D91" s="13">
        <v>19</v>
      </c>
      <c r="E91" s="13">
        <v>37</v>
      </c>
      <c r="F91" s="14">
        <v>63</v>
      </c>
      <c r="G91" s="14">
        <v>12</v>
      </c>
      <c r="H91" s="15">
        <v>9</v>
      </c>
      <c r="I91" s="14">
        <v>16</v>
      </c>
      <c r="J91" s="15">
        <v>9</v>
      </c>
      <c r="L91" s="14">
        <v>24</v>
      </c>
      <c r="N91" s="15">
        <v>16</v>
      </c>
      <c r="O91" s="16">
        <f t="shared" si="10"/>
        <v>150</v>
      </c>
      <c r="P91" s="1">
        <f t="shared" si="11"/>
        <v>960</v>
      </c>
      <c r="Q91">
        <f t="shared" si="12"/>
        <v>776</v>
      </c>
      <c r="R91">
        <f t="shared" si="13"/>
        <v>661</v>
      </c>
      <c r="S91">
        <f t="shared" si="14"/>
        <v>280.60000000000002</v>
      </c>
      <c r="T91">
        <f t="shared" si="15"/>
        <v>269.40000000000003</v>
      </c>
      <c r="U91" s="21">
        <f t="shared" si="19"/>
        <v>0.85180412371134018</v>
      </c>
      <c r="V91" s="21">
        <f t="shared" si="16"/>
        <v>0.96008553100498928</v>
      </c>
      <c r="W91" s="21">
        <f t="shared" si="17"/>
        <v>0.42450832072617251</v>
      </c>
      <c r="X91">
        <f t="shared" si="18"/>
        <v>0.34716494845360824</v>
      </c>
    </row>
    <row r="92" spans="1:24" x14ac:dyDescent="0.3">
      <c r="A92" s="2">
        <v>91</v>
      </c>
      <c r="B92" s="2" t="s">
        <v>5</v>
      </c>
      <c r="C92" s="2">
        <f>Découpe!C92-Découpe!D92-Découpe!E92</f>
        <v>1568</v>
      </c>
      <c r="D92" s="13">
        <v>18</v>
      </c>
      <c r="E92" s="13">
        <v>28</v>
      </c>
      <c r="F92" s="14">
        <v>71</v>
      </c>
      <c r="G92" s="14">
        <v>12</v>
      </c>
      <c r="H92" s="15">
        <v>13</v>
      </c>
      <c r="I92" s="14">
        <v>18</v>
      </c>
      <c r="J92" s="15">
        <v>5</v>
      </c>
      <c r="L92" s="14">
        <v>17</v>
      </c>
      <c r="N92" s="15">
        <v>18</v>
      </c>
      <c r="O92" s="16">
        <f t="shared" si="10"/>
        <v>150</v>
      </c>
      <c r="P92" s="1">
        <f t="shared" si="11"/>
        <v>960</v>
      </c>
      <c r="Q92">
        <f t="shared" si="12"/>
        <v>774</v>
      </c>
      <c r="R92">
        <f t="shared" si="13"/>
        <v>656</v>
      </c>
      <c r="S92">
        <f t="shared" si="14"/>
        <v>313.60000000000002</v>
      </c>
      <c r="T92">
        <f t="shared" si="15"/>
        <v>304.40000000000003</v>
      </c>
      <c r="U92" s="21">
        <f t="shared" si="19"/>
        <v>0.84754521963824292</v>
      </c>
      <c r="V92" s="21">
        <f t="shared" si="16"/>
        <v>0.97066326530612246</v>
      </c>
      <c r="W92" s="21">
        <f t="shared" si="17"/>
        <v>0.47804878048780491</v>
      </c>
      <c r="X92">
        <f t="shared" si="18"/>
        <v>0.39328165374677004</v>
      </c>
    </row>
    <row r="93" spans="1:24" x14ac:dyDescent="0.3">
      <c r="A93" s="2">
        <v>92</v>
      </c>
      <c r="B93" s="2" t="s">
        <v>3</v>
      </c>
      <c r="C93" s="2">
        <f>Découpe!C93-Découpe!D93-Découpe!E93</f>
        <v>1393</v>
      </c>
      <c r="D93" s="13">
        <v>19</v>
      </c>
      <c r="E93" s="13">
        <v>38</v>
      </c>
      <c r="F93" s="14">
        <v>82</v>
      </c>
      <c r="G93" s="14">
        <v>8</v>
      </c>
      <c r="H93" s="15">
        <v>8</v>
      </c>
      <c r="I93" s="14">
        <v>22</v>
      </c>
      <c r="J93" s="15">
        <v>7</v>
      </c>
      <c r="K93" s="14">
        <v>37</v>
      </c>
      <c r="L93" s="14">
        <v>24</v>
      </c>
      <c r="N93" s="15">
        <v>18</v>
      </c>
      <c r="O93" s="16">
        <f t="shared" si="10"/>
        <v>150</v>
      </c>
      <c r="P93" s="1">
        <f t="shared" si="11"/>
        <v>960</v>
      </c>
      <c r="Q93">
        <f t="shared" si="12"/>
        <v>777</v>
      </c>
      <c r="R93">
        <f t="shared" si="13"/>
        <v>604</v>
      </c>
      <c r="S93">
        <f t="shared" si="14"/>
        <v>278.60000000000002</v>
      </c>
      <c r="T93">
        <f t="shared" si="15"/>
        <v>267.2</v>
      </c>
      <c r="U93" s="21">
        <f t="shared" si="19"/>
        <v>0.77734877734877739</v>
      </c>
      <c r="V93" s="21">
        <f t="shared" si="16"/>
        <v>0.95908111988514</v>
      </c>
      <c r="W93" s="21">
        <f t="shared" si="17"/>
        <v>0.46125827814569542</v>
      </c>
      <c r="X93">
        <f t="shared" si="18"/>
        <v>0.34388674388674395</v>
      </c>
    </row>
    <row r="94" spans="1:24" x14ac:dyDescent="0.3">
      <c r="A94" s="2">
        <v>93</v>
      </c>
      <c r="B94" s="2" t="s">
        <v>3</v>
      </c>
      <c r="C94" s="2">
        <f>Découpe!C94-Découpe!D94-Découpe!E94</f>
        <v>1560</v>
      </c>
      <c r="D94" s="13">
        <v>18</v>
      </c>
      <c r="E94" s="13">
        <v>27</v>
      </c>
      <c r="F94" s="14">
        <v>74</v>
      </c>
      <c r="G94" s="14">
        <v>14</v>
      </c>
      <c r="H94" s="15">
        <v>10</v>
      </c>
      <c r="I94" s="14">
        <v>13</v>
      </c>
      <c r="J94" s="15">
        <v>5</v>
      </c>
      <c r="L94" s="14">
        <v>31</v>
      </c>
      <c r="N94" s="15">
        <v>15</v>
      </c>
      <c r="O94" s="16">
        <f t="shared" si="10"/>
        <v>150</v>
      </c>
      <c r="P94" s="1">
        <f t="shared" si="11"/>
        <v>960</v>
      </c>
      <c r="Q94">
        <f t="shared" si="12"/>
        <v>780</v>
      </c>
      <c r="R94">
        <f t="shared" si="13"/>
        <v>648</v>
      </c>
      <c r="S94">
        <f t="shared" si="14"/>
        <v>312</v>
      </c>
      <c r="T94">
        <f t="shared" si="15"/>
        <v>303</v>
      </c>
      <c r="U94" s="21">
        <f t="shared" si="19"/>
        <v>0.83076923076923082</v>
      </c>
      <c r="V94" s="21">
        <f t="shared" si="16"/>
        <v>0.97115384615384615</v>
      </c>
      <c r="W94" s="21">
        <f t="shared" si="17"/>
        <v>0.48148148148148145</v>
      </c>
      <c r="X94">
        <f t="shared" si="18"/>
        <v>0.38846153846153847</v>
      </c>
    </row>
    <row r="95" spans="1:24" x14ac:dyDescent="0.3">
      <c r="A95" s="2">
        <v>94</v>
      </c>
      <c r="B95" s="2" t="s">
        <v>5</v>
      </c>
      <c r="C95" s="2">
        <f>Découpe!C95-Découpe!D95-Découpe!E95</f>
        <v>1544</v>
      </c>
      <c r="D95" s="13">
        <v>26</v>
      </c>
      <c r="E95" s="13">
        <v>25</v>
      </c>
      <c r="F95" s="14">
        <v>65</v>
      </c>
      <c r="G95" s="14">
        <v>15</v>
      </c>
      <c r="H95" s="15">
        <v>12</v>
      </c>
      <c r="I95" s="14">
        <v>17</v>
      </c>
      <c r="J95" s="15">
        <v>9</v>
      </c>
      <c r="K95" s="14">
        <v>22</v>
      </c>
      <c r="L95" s="14">
        <v>28</v>
      </c>
      <c r="N95" s="15">
        <v>19</v>
      </c>
      <c r="O95" s="16">
        <f t="shared" si="10"/>
        <v>150</v>
      </c>
      <c r="P95" s="1">
        <f t="shared" si="11"/>
        <v>960</v>
      </c>
      <c r="Q95">
        <f t="shared" si="12"/>
        <v>770</v>
      </c>
      <c r="R95">
        <f t="shared" si="13"/>
        <v>623</v>
      </c>
      <c r="S95">
        <f t="shared" si="14"/>
        <v>308.8</v>
      </c>
      <c r="T95">
        <f t="shared" si="15"/>
        <v>298.60000000000002</v>
      </c>
      <c r="U95" s="21">
        <f t="shared" si="19"/>
        <v>0.80909090909090908</v>
      </c>
      <c r="V95" s="21">
        <f t="shared" si="16"/>
        <v>0.96696891191709844</v>
      </c>
      <c r="W95" s="21">
        <f t="shared" si="17"/>
        <v>0.49566613162118783</v>
      </c>
      <c r="X95">
        <f t="shared" si="18"/>
        <v>0.3877922077922078</v>
      </c>
    </row>
    <row r="96" spans="1:24" x14ac:dyDescent="0.3">
      <c r="A96" s="2">
        <v>95</v>
      </c>
      <c r="B96" s="2" t="s">
        <v>5</v>
      </c>
      <c r="C96" s="2">
        <f>Découpe!C96-Découpe!D96-Découpe!E96</f>
        <v>1417</v>
      </c>
      <c r="D96" s="13">
        <v>15</v>
      </c>
      <c r="E96" s="13">
        <v>40</v>
      </c>
      <c r="F96" s="14">
        <v>75</v>
      </c>
      <c r="G96" s="14">
        <v>11</v>
      </c>
      <c r="H96" s="15">
        <v>9</v>
      </c>
      <c r="I96" s="14">
        <v>18</v>
      </c>
      <c r="J96" s="15">
        <v>7</v>
      </c>
      <c r="L96" s="14">
        <v>30</v>
      </c>
      <c r="N96" s="15">
        <v>15</v>
      </c>
      <c r="O96" s="16">
        <f t="shared" si="10"/>
        <v>150</v>
      </c>
      <c r="P96" s="1">
        <f t="shared" si="11"/>
        <v>960</v>
      </c>
      <c r="Q96">
        <f t="shared" si="12"/>
        <v>779</v>
      </c>
      <c r="R96">
        <f t="shared" si="13"/>
        <v>645</v>
      </c>
      <c r="S96">
        <f t="shared" si="14"/>
        <v>283.40000000000003</v>
      </c>
      <c r="T96">
        <f t="shared" si="15"/>
        <v>272.40000000000003</v>
      </c>
      <c r="U96" s="21">
        <f t="shared" si="19"/>
        <v>0.82798459563543003</v>
      </c>
      <c r="V96" s="21">
        <f t="shared" si="16"/>
        <v>0.9611856033874383</v>
      </c>
      <c r="W96" s="21">
        <f t="shared" si="17"/>
        <v>0.43937984496124038</v>
      </c>
      <c r="X96">
        <f t="shared" si="18"/>
        <v>0.3496790757381259</v>
      </c>
    </row>
    <row r="97" spans="1:24" x14ac:dyDescent="0.3">
      <c r="A97" s="2">
        <v>96</v>
      </c>
      <c r="B97" s="2" t="s">
        <v>2</v>
      </c>
      <c r="C97" s="2">
        <f>Découpe!C97-Découpe!D97-Découpe!E97</f>
        <v>1429</v>
      </c>
      <c r="D97" s="13">
        <v>20</v>
      </c>
      <c r="E97" s="13">
        <v>20</v>
      </c>
      <c r="F97" s="14">
        <v>79</v>
      </c>
      <c r="G97" s="14">
        <v>15</v>
      </c>
      <c r="H97" s="15">
        <v>8</v>
      </c>
      <c r="I97" s="14">
        <v>15</v>
      </c>
      <c r="J97" s="15">
        <v>8</v>
      </c>
      <c r="K97" s="14">
        <v>29</v>
      </c>
      <c r="L97" s="14">
        <v>31</v>
      </c>
      <c r="N97" s="15">
        <v>15</v>
      </c>
      <c r="O97" s="16">
        <f t="shared" si="10"/>
        <v>150</v>
      </c>
      <c r="P97" s="1">
        <f t="shared" si="11"/>
        <v>960</v>
      </c>
      <c r="Q97">
        <f t="shared" si="12"/>
        <v>779</v>
      </c>
      <c r="R97">
        <f t="shared" si="13"/>
        <v>610</v>
      </c>
      <c r="S97">
        <f t="shared" si="14"/>
        <v>285.8</v>
      </c>
      <c r="T97">
        <f t="shared" si="15"/>
        <v>277.8</v>
      </c>
      <c r="U97" s="21">
        <f t="shared" si="19"/>
        <v>0.78305519897304232</v>
      </c>
      <c r="V97" s="21">
        <f t="shared" si="16"/>
        <v>0.97200839748075574</v>
      </c>
      <c r="W97" s="21">
        <f t="shared" si="17"/>
        <v>0.46852459016393444</v>
      </c>
      <c r="X97">
        <f t="shared" si="18"/>
        <v>0.35661103979460845</v>
      </c>
    </row>
    <row r="98" spans="1:24" x14ac:dyDescent="0.3">
      <c r="A98" s="2">
        <v>97</v>
      </c>
      <c r="B98" s="2" t="s">
        <v>3</v>
      </c>
      <c r="C98" s="2">
        <f>Découpe!C98-Découpe!D98-Découpe!E98</f>
        <v>1401</v>
      </c>
      <c r="D98" s="13">
        <v>18</v>
      </c>
      <c r="E98" s="13">
        <v>26</v>
      </c>
      <c r="F98" s="14">
        <v>47</v>
      </c>
      <c r="G98" s="14">
        <v>16</v>
      </c>
      <c r="H98" s="15">
        <v>11</v>
      </c>
      <c r="I98" s="14">
        <v>28</v>
      </c>
      <c r="J98" s="15">
        <v>5</v>
      </c>
      <c r="K98" s="14">
        <v>25</v>
      </c>
      <c r="L98" s="14">
        <v>28</v>
      </c>
      <c r="M98" s="15">
        <v>200</v>
      </c>
      <c r="N98" s="15">
        <v>19</v>
      </c>
      <c r="O98" s="16">
        <f t="shared" si="10"/>
        <v>150</v>
      </c>
      <c r="P98" s="1">
        <f t="shared" si="11"/>
        <v>960</v>
      </c>
      <c r="Q98">
        <f t="shared" si="12"/>
        <v>575</v>
      </c>
      <c r="R98">
        <f t="shared" si="13"/>
        <v>431</v>
      </c>
      <c r="S98">
        <f t="shared" si="14"/>
        <v>280.2</v>
      </c>
      <c r="T98">
        <f t="shared" si="15"/>
        <v>271.40000000000003</v>
      </c>
      <c r="U98" s="21">
        <f t="shared" si="19"/>
        <v>0.74956521739130433</v>
      </c>
      <c r="V98" s="21">
        <f t="shared" si="16"/>
        <v>0.96859386152748039</v>
      </c>
      <c r="W98" s="21">
        <f t="shared" si="17"/>
        <v>0.65011600928074242</v>
      </c>
      <c r="X98">
        <f t="shared" si="18"/>
        <v>0.47199999999999998</v>
      </c>
    </row>
    <row r="99" spans="1:24" x14ac:dyDescent="0.3">
      <c r="A99" s="2">
        <v>98</v>
      </c>
      <c r="B99" s="2" t="s">
        <v>3</v>
      </c>
      <c r="C99" s="2">
        <f>Découpe!C99-Découpe!D99-Découpe!E99</f>
        <v>1467</v>
      </c>
      <c r="D99" s="13">
        <v>16</v>
      </c>
      <c r="E99" s="13">
        <v>27</v>
      </c>
      <c r="F99" s="14">
        <v>48</v>
      </c>
      <c r="G99" s="14">
        <v>9</v>
      </c>
      <c r="H99" s="15">
        <v>8</v>
      </c>
      <c r="I99" s="14">
        <v>11</v>
      </c>
      <c r="J99" s="15">
        <v>9</v>
      </c>
      <c r="L99" s="14">
        <v>21</v>
      </c>
      <c r="N99" s="15">
        <v>18</v>
      </c>
      <c r="O99" s="16">
        <f t="shared" si="10"/>
        <v>150</v>
      </c>
      <c r="P99" s="1">
        <f t="shared" si="11"/>
        <v>960</v>
      </c>
      <c r="Q99">
        <f t="shared" si="12"/>
        <v>775</v>
      </c>
      <c r="R99">
        <f t="shared" si="13"/>
        <v>686</v>
      </c>
      <c r="S99">
        <f t="shared" si="14"/>
        <v>293.40000000000003</v>
      </c>
      <c r="T99">
        <f t="shared" si="15"/>
        <v>284.8</v>
      </c>
      <c r="U99" s="21">
        <f t="shared" si="19"/>
        <v>0.88516129032258062</v>
      </c>
      <c r="V99" s="21">
        <f t="shared" si="16"/>
        <v>0.97068847989093388</v>
      </c>
      <c r="W99" s="21">
        <f t="shared" si="17"/>
        <v>0.42769679300291552</v>
      </c>
      <c r="X99">
        <f t="shared" si="18"/>
        <v>0.36748387096774199</v>
      </c>
    </row>
    <row r="100" spans="1:24" x14ac:dyDescent="0.3">
      <c r="A100" s="2">
        <v>99</v>
      </c>
      <c r="B100" s="2" t="s">
        <v>5</v>
      </c>
      <c r="C100" s="2">
        <f>Découpe!C100-Découpe!D100-Découpe!E100</f>
        <v>1398</v>
      </c>
      <c r="D100" s="13">
        <v>27</v>
      </c>
      <c r="E100" s="13">
        <v>32</v>
      </c>
      <c r="F100" s="14">
        <v>52</v>
      </c>
      <c r="G100" s="14">
        <v>13</v>
      </c>
      <c r="H100" s="15">
        <v>5</v>
      </c>
      <c r="I100" s="14">
        <v>10</v>
      </c>
      <c r="J100" s="15">
        <v>9</v>
      </c>
      <c r="K100" s="14">
        <v>10</v>
      </c>
      <c r="L100" s="14">
        <v>22</v>
      </c>
      <c r="N100" s="15">
        <v>16</v>
      </c>
      <c r="O100" s="16">
        <f t="shared" si="10"/>
        <v>150</v>
      </c>
      <c r="P100" s="1">
        <f t="shared" si="11"/>
        <v>960</v>
      </c>
      <c r="Q100">
        <f t="shared" si="12"/>
        <v>780</v>
      </c>
      <c r="R100">
        <f t="shared" si="13"/>
        <v>673</v>
      </c>
      <c r="S100">
        <f t="shared" si="14"/>
        <v>279.60000000000002</v>
      </c>
      <c r="T100">
        <f t="shared" si="15"/>
        <v>267.8</v>
      </c>
      <c r="U100" s="21">
        <f t="shared" si="19"/>
        <v>0.86282051282051286</v>
      </c>
      <c r="V100" s="21">
        <f t="shared" si="16"/>
        <v>0.95779685264663805</v>
      </c>
      <c r="W100" s="21">
        <f t="shared" si="17"/>
        <v>0.41545319465081726</v>
      </c>
      <c r="X100">
        <f t="shared" si="18"/>
        <v>0.34333333333333338</v>
      </c>
    </row>
    <row r="101" spans="1:24" x14ac:dyDescent="0.3">
      <c r="A101" s="2">
        <v>100</v>
      </c>
      <c r="B101" s="2" t="s">
        <v>2</v>
      </c>
      <c r="C101" s="2">
        <f>Découpe!C101-Découpe!D101-Découpe!E101</f>
        <v>1371</v>
      </c>
      <c r="D101" s="13">
        <v>19</v>
      </c>
      <c r="E101" s="13">
        <v>40</v>
      </c>
      <c r="F101" s="14">
        <v>53</v>
      </c>
      <c r="G101" s="14">
        <v>12</v>
      </c>
      <c r="H101" s="15">
        <v>9</v>
      </c>
      <c r="I101" s="14">
        <v>27</v>
      </c>
      <c r="J101" s="15">
        <v>9</v>
      </c>
      <c r="K101" s="14">
        <v>11</v>
      </c>
      <c r="L101" s="14">
        <v>32</v>
      </c>
      <c r="N101" s="15">
        <v>20</v>
      </c>
      <c r="O101" s="16">
        <f t="shared" si="10"/>
        <v>150</v>
      </c>
      <c r="P101" s="1">
        <f t="shared" si="11"/>
        <v>960</v>
      </c>
      <c r="Q101">
        <f t="shared" si="12"/>
        <v>772</v>
      </c>
      <c r="R101">
        <f t="shared" si="13"/>
        <v>637</v>
      </c>
      <c r="S101">
        <f t="shared" si="14"/>
        <v>274.2</v>
      </c>
      <c r="T101">
        <f t="shared" si="15"/>
        <v>262.40000000000003</v>
      </c>
      <c r="U101" s="21">
        <f t="shared" si="19"/>
        <v>0.82512953367875652</v>
      </c>
      <c r="V101" s="21">
        <f t="shared" si="16"/>
        <v>0.95696571845368339</v>
      </c>
      <c r="W101" s="21">
        <f t="shared" si="17"/>
        <v>0.43045525902668758</v>
      </c>
      <c r="X101">
        <f t="shared" si="18"/>
        <v>0.33989637305699483</v>
      </c>
    </row>
    <row r="102" spans="1:24" x14ac:dyDescent="0.3">
      <c r="A102" s="2">
        <v>101</v>
      </c>
      <c r="B102" s="2" t="s">
        <v>4</v>
      </c>
      <c r="C102" s="2">
        <f>Découpe!C102-Découpe!D102-Découpe!E102</f>
        <v>1434</v>
      </c>
      <c r="D102" s="13">
        <v>20</v>
      </c>
      <c r="E102" s="13">
        <v>22</v>
      </c>
      <c r="F102" s="14">
        <v>39</v>
      </c>
      <c r="G102" s="14">
        <v>11</v>
      </c>
      <c r="H102" s="15">
        <v>15</v>
      </c>
      <c r="I102" s="14">
        <v>27</v>
      </c>
      <c r="J102" s="15">
        <v>5</v>
      </c>
      <c r="K102" s="14">
        <v>17</v>
      </c>
      <c r="L102" s="14">
        <v>21</v>
      </c>
      <c r="N102" s="15">
        <v>17</v>
      </c>
      <c r="O102" s="16">
        <f t="shared" si="10"/>
        <v>150</v>
      </c>
      <c r="P102" s="1">
        <f t="shared" si="11"/>
        <v>960</v>
      </c>
      <c r="Q102">
        <f t="shared" si="12"/>
        <v>773</v>
      </c>
      <c r="R102">
        <f t="shared" si="13"/>
        <v>658</v>
      </c>
      <c r="S102">
        <f t="shared" si="14"/>
        <v>286.8</v>
      </c>
      <c r="T102">
        <f t="shared" si="15"/>
        <v>278.40000000000003</v>
      </c>
      <c r="U102" s="21">
        <f t="shared" si="19"/>
        <v>0.85122897800776198</v>
      </c>
      <c r="V102" s="21">
        <f t="shared" si="16"/>
        <v>0.97071129707112969</v>
      </c>
      <c r="W102" s="21">
        <f t="shared" si="17"/>
        <v>0.4358662613981763</v>
      </c>
      <c r="X102">
        <f t="shared" si="18"/>
        <v>0.36015523932729621</v>
      </c>
    </row>
    <row r="103" spans="1:24" x14ac:dyDescent="0.3">
      <c r="A103" s="2">
        <v>102</v>
      </c>
      <c r="B103" s="2" t="s">
        <v>3</v>
      </c>
      <c r="C103" s="2">
        <f>Découpe!C103-Découpe!D103-Découpe!E103</f>
        <v>1547</v>
      </c>
      <c r="D103" s="13">
        <v>23</v>
      </c>
      <c r="E103" s="13">
        <v>35</v>
      </c>
      <c r="F103" s="14">
        <v>28</v>
      </c>
      <c r="G103" s="14">
        <v>7</v>
      </c>
      <c r="H103" s="15">
        <v>7</v>
      </c>
      <c r="I103" s="14">
        <v>15</v>
      </c>
      <c r="J103" s="15">
        <v>5</v>
      </c>
      <c r="K103" s="14">
        <v>45</v>
      </c>
      <c r="L103" s="14">
        <v>15</v>
      </c>
      <c r="N103" s="15">
        <v>17</v>
      </c>
      <c r="O103" s="16">
        <f t="shared" si="10"/>
        <v>150</v>
      </c>
      <c r="P103" s="1">
        <f t="shared" si="11"/>
        <v>960</v>
      </c>
      <c r="Q103">
        <f t="shared" si="12"/>
        <v>781</v>
      </c>
      <c r="R103">
        <f t="shared" si="13"/>
        <v>671</v>
      </c>
      <c r="S103">
        <f t="shared" si="14"/>
        <v>309.40000000000003</v>
      </c>
      <c r="T103">
        <f t="shared" si="15"/>
        <v>297.8</v>
      </c>
      <c r="U103" s="21">
        <f t="shared" si="19"/>
        <v>0.85915492957746475</v>
      </c>
      <c r="V103" s="21">
        <f t="shared" si="16"/>
        <v>0.962508080155139</v>
      </c>
      <c r="W103" s="21">
        <f t="shared" si="17"/>
        <v>0.46110283159463494</v>
      </c>
      <c r="X103">
        <f t="shared" si="18"/>
        <v>0.38130601792573626</v>
      </c>
    </row>
    <row r="104" spans="1:24" x14ac:dyDescent="0.3">
      <c r="A104" s="2">
        <v>103</v>
      </c>
      <c r="B104" s="2" t="s">
        <v>3</v>
      </c>
      <c r="C104" s="2">
        <f>Découpe!C104-Découpe!D104-Découpe!E104</f>
        <v>1353</v>
      </c>
      <c r="D104" s="13">
        <v>21</v>
      </c>
      <c r="E104" s="13">
        <v>37</v>
      </c>
      <c r="F104" s="14">
        <v>38</v>
      </c>
      <c r="G104" s="14">
        <v>8</v>
      </c>
      <c r="H104" s="15">
        <v>6</v>
      </c>
      <c r="I104" s="14">
        <v>22</v>
      </c>
      <c r="J104" s="15">
        <v>7</v>
      </c>
      <c r="L104" s="14">
        <v>24</v>
      </c>
      <c r="N104" s="15">
        <v>19</v>
      </c>
      <c r="O104" s="16">
        <f t="shared" si="10"/>
        <v>150</v>
      </c>
      <c r="P104" s="1">
        <f t="shared" si="11"/>
        <v>960</v>
      </c>
      <c r="Q104">
        <f t="shared" si="12"/>
        <v>778</v>
      </c>
      <c r="R104">
        <f t="shared" si="13"/>
        <v>686</v>
      </c>
      <c r="S104">
        <f t="shared" si="14"/>
        <v>270.60000000000002</v>
      </c>
      <c r="T104">
        <f t="shared" si="15"/>
        <v>259</v>
      </c>
      <c r="U104" s="21">
        <f t="shared" si="19"/>
        <v>0.8817480719794345</v>
      </c>
      <c r="V104" s="21">
        <f t="shared" si="16"/>
        <v>0.95713229859571325</v>
      </c>
      <c r="W104" s="21">
        <f t="shared" si="17"/>
        <v>0.39446064139941694</v>
      </c>
      <c r="X104">
        <f t="shared" si="18"/>
        <v>0.33290488431876614</v>
      </c>
    </row>
    <row r="105" spans="1:24" x14ac:dyDescent="0.3">
      <c r="A105" s="2">
        <v>104</v>
      </c>
      <c r="B105" s="2" t="s">
        <v>3</v>
      </c>
      <c r="C105" s="2">
        <f>Découpe!C105-Découpe!D105-Découpe!E105</f>
        <v>1532</v>
      </c>
      <c r="D105" s="13">
        <v>24</v>
      </c>
      <c r="E105" s="13">
        <v>24</v>
      </c>
      <c r="F105" s="14">
        <v>43</v>
      </c>
      <c r="G105" s="14">
        <v>15</v>
      </c>
      <c r="H105" s="15">
        <v>10</v>
      </c>
      <c r="I105" s="14">
        <v>28</v>
      </c>
      <c r="J105" s="15">
        <v>5</v>
      </c>
      <c r="L105" s="14">
        <v>20</v>
      </c>
      <c r="N105" s="15">
        <v>16</v>
      </c>
      <c r="O105" s="16">
        <f t="shared" si="10"/>
        <v>150</v>
      </c>
      <c r="P105" s="1">
        <f t="shared" si="11"/>
        <v>960</v>
      </c>
      <c r="Q105">
        <f t="shared" si="12"/>
        <v>779</v>
      </c>
      <c r="R105">
        <f t="shared" si="13"/>
        <v>673</v>
      </c>
      <c r="S105">
        <f t="shared" si="14"/>
        <v>306.40000000000003</v>
      </c>
      <c r="T105">
        <f t="shared" si="15"/>
        <v>296.8</v>
      </c>
      <c r="U105" s="21">
        <f t="shared" si="19"/>
        <v>0.86392811296534022</v>
      </c>
      <c r="V105" s="21">
        <f t="shared" si="16"/>
        <v>0.96866840731070492</v>
      </c>
      <c r="W105" s="21">
        <f t="shared" si="17"/>
        <v>0.45527488855869247</v>
      </c>
      <c r="X105">
        <f t="shared" si="18"/>
        <v>0.38100128369704755</v>
      </c>
    </row>
    <row r="106" spans="1:24" x14ac:dyDescent="0.3">
      <c r="A106" s="2">
        <v>105</v>
      </c>
      <c r="B106" s="2" t="s">
        <v>5</v>
      </c>
      <c r="C106" s="2">
        <f>Découpe!C106-Découpe!D106-Découpe!E106</f>
        <v>1488</v>
      </c>
      <c r="D106" s="13">
        <v>22</v>
      </c>
      <c r="E106" s="13">
        <v>33</v>
      </c>
      <c r="F106" s="14">
        <v>58</v>
      </c>
      <c r="G106" s="14">
        <v>15</v>
      </c>
      <c r="H106" s="15">
        <v>15</v>
      </c>
      <c r="I106" s="14">
        <v>23</v>
      </c>
      <c r="J106" s="15">
        <v>8</v>
      </c>
      <c r="K106" s="14">
        <v>28</v>
      </c>
      <c r="L106" s="14">
        <v>21</v>
      </c>
      <c r="N106" s="15">
        <v>18</v>
      </c>
      <c r="O106" s="16">
        <f t="shared" si="10"/>
        <v>150</v>
      </c>
      <c r="P106" s="1">
        <f t="shared" si="11"/>
        <v>960</v>
      </c>
      <c r="Q106">
        <f t="shared" si="12"/>
        <v>769</v>
      </c>
      <c r="R106">
        <f t="shared" si="13"/>
        <v>624</v>
      </c>
      <c r="S106">
        <f t="shared" si="14"/>
        <v>297.60000000000002</v>
      </c>
      <c r="T106">
        <f t="shared" si="15"/>
        <v>286.60000000000002</v>
      </c>
      <c r="U106" s="21">
        <f t="shared" si="19"/>
        <v>0.81144343302990896</v>
      </c>
      <c r="V106" s="21">
        <f t="shared" si="16"/>
        <v>0.96303763440860213</v>
      </c>
      <c r="W106" s="21">
        <f t="shared" si="17"/>
        <v>0.47692307692307695</v>
      </c>
      <c r="X106">
        <f t="shared" si="18"/>
        <v>0.37269180754226267</v>
      </c>
    </row>
    <row r="107" spans="1:24" x14ac:dyDescent="0.3">
      <c r="A107" s="2">
        <v>106</v>
      </c>
      <c r="B107" s="2" t="s">
        <v>4</v>
      </c>
      <c r="C107" s="2">
        <f>Découpe!C107-Découpe!D107-Découpe!E107</f>
        <v>1539</v>
      </c>
      <c r="D107" s="13">
        <v>19</v>
      </c>
      <c r="E107" s="13">
        <v>33</v>
      </c>
      <c r="F107" s="14">
        <v>39</v>
      </c>
      <c r="G107" s="14">
        <v>14</v>
      </c>
      <c r="H107" s="15">
        <v>12</v>
      </c>
      <c r="I107" s="14">
        <v>28</v>
      </c>
      <c r="J107" s="15">
        <v>8</v>
      </c>
      <c r="K107" s="14">
        <v>25</v>
      </c>
      <c r="L107" s="14">
        <v>26</v>
      </c>
      <c r="N107" s="15">
        <v>20</v>
      </c>
      <c r="O107" s="16">
        <f t="shared" si="10"/>
        <v>150</v>
      </c>
      <c r="P107" s="1">
        <f t="shared" si="11"/>
        <v>960</v>
      </c>
      <c r="Q107">
        <f t="shared" si="12"/>
        <v>770</v>
      </c>
      <c r="R107">
        <f t="shared" si="13"/>
        <v>638</v>
      </c>
      <c r="S107">
        <f t="shared" si="14"/>
        <v>307.8</v>
      </c>
      <c r="T107">
        <f t="shared" si="15"/>
        <v>297.40000000000003</v>
      </c>
      <c r="U107" s="21">
        <f t="shared" si="19"/>
        <v>0.82857142857142863</v>
      </c>
      <c r="V107" s="21">
        <f t="shared" si="16"/>
        <v>0.96621182586094867</v>
      </c>
      <c r="W107" s="21">
        <f t="shared" si="17"/>
        <v>0.48244514106583075</v>
      </c>
      <c r="X107">
        <f t="shared" si="18"/>
        <v>0.38623376623376626</v>
      </c>
    </row>
    <row r="108" spans="1:24" x14ac:dyDescent="0.3">
      <c r="A108" s="2">
        <v>107</v>
      </c>
      <c r="B108" s="2" t="s">
        <v>3</v>
      </c>
      <c r="C108" s="2">
        <f>Découpe!C108-Découpe!D108-Découpe!E108</f>
        <v>1422</v>
      </c>
      <c r="D108" s="13">
        <v>25</v>
      </c>
      <c r="E108" s="13">
        <v>27</v>
      </c>
      <c r="F108" s="14">
        <v>43</v>
      </c>
      <c r="G108" s="14">
        <v>11</v>
      </c>
      <c r="H108" s="15">
        <v>6</v>
      </c>
      <c r="I108" s="14">
        <v>23</v>
      </c>
      <c r="J108" s="15">
        <v>6</v>
      </c>
      <c r="K108" s="14">
        <v>41</v>
      </c>
      <c r="L108" s="14">
        <v>24</v>
      </c>
      <c r="N108" s="15">
        <v>17</v>
      </c>
      <c r="O108" s="16">
        <f t="shared" si="10"/>
        <v>150</v>
      </c>
      <c r="P108" s="1">
        <f t="shared" si="11"/>
        <v>960</v>
      </c>
      <c r="Q108">
        <f t="shared" si="12"/>
        <v>781</v>
      </c>
      <c r="R108">
        <f t="shared" si="13"/>
        <v>639</v>
      </c>
      <c r="S108">
        <f t="shared" si="14"/>
        <v>284.40000000000003</v>
      </c>
      <c r="T108">
        <f t="shared" si="15"/>
        <v>274</v>
      </c>
      <c r="U108" s="21">
        <f t="shared" si="19"/>
        <v>0.81818181818181823</v>
      </c>
      <c r="V108" s="21">
        <f t="shared" si="16"/>
        <v>0.96343178621659631</v>
      </c>
      <c r="W108" s="21">
        <f t="shared" si="17"/>
        <v>0.44507042253521134</v>
      </c>
      <c r="X108">
        <f t="shared" si="18"/>
        <v>0.35083226632522413</v>
      </c>
    </row>
    <row r="109" spans="1:24" x14ac:dyDescent="0.3">
      <c r="A109" s="2">
        <v>108</v>
      </c>
      <c r="B109" s="2" t="s">
        <v>2</v>
      </c>
      <c r="C109" s="2">
        <f>Découpe!C109-Découpe!D109-Découpe!E109</f>
        <v>1387</v>
      </c>
      <c r="D109" s="13">
        <v>19</v>
      </c>
      <c r="E109" s="13">
        <v>32</v>
      </c>
      <c r="F109" s="14">
        <v>51</v>
      </c>
      <c r="G109" s="14">
        <v>6</v>
      </c>
      <c r="H109" s="15">
        <v>13</v>
      </c>
      <c r="I109" s="14">
        <v>28</v>
      </c>
      <c r="J109" s="15">
        <v>9</v>
      </c>
      <c r="K109" s="14">
        <v>17</v>
      </c>
      <c r="L109" s="14">
        <v>27</v>
      </c>
      <c r="N109" s="15">
        <v>18</v>
      </c>
      <c r="O109" s="16">
        <f t="shared" si="10"/>
        <v>150</v>
      </c>
      <c r="P109" s="1">
        <f t="shared" si="11"/>
        <v>960</v>
      </c>
      <c r="Q109">
        <f t="shared" si="12"/>
        <v>770</v>
      </c>
      <c r="R109">
        <f t="shared" si="13"/>
        <v>641</v>
      </c>
      <c r="S109">
        <f t="shared" si="14"/>
        <v>277.40000000000003</v>
      </c>
      <c r="T109">
        <f t="shared" si="15"/>
        <v>267.2</v>
      </c>
      <c r="U109" s="21">
        <f t="shared" si="19"/>
        <v>0.83246753246753247</v>
      </c>
      <c r="V109" s="21">
        <f t="shared" si="16"/>
        <v>0.96322999279019461</v>
      </c>
      <c r="W109" s="21">
        <f t="shared" si="17"/>
        <v>0.43276131045241817</v>
      </c>
      <c r="X109">
        <f t="shared" si="18"/>
        <v>0.34701298701298705</v>
      </c>
    </row>
    <row r="110" spans="1:24" x14ac:dyDescent="0.3">
      <c r="A110" s="2">
        <v>109</v>
      </c>
      <c r="B110" s="2" t="s">
        <v>5</v>
      </c>
      <c r="C110" s="2">
        <f>Découpe!C110-Découpe!D110-Découpe!E110</f>
        <v>1538</v>
      </c>
      <c r="D110" s="13">
        <v>21</v>
      </c>
      <c r="E110" s="13">
        <v>31</v>
      </c>
      <c r="F110" s="14">
        <v>38</v>
      </c>
      <c r="G110" s="14">
        <v>16</v>
      </c>
      <c r="H110" s="15">
        <v>11</v>
      </c>
      <c r="I110" s="14">
        <v>15</v>
      </c>
      <c r="J110" s="15">
        <v>7</v>
      </c>
      <c r="K110" s="14">
        <v>30</v>
      </c>
      <c r="L110" s="14">
        <v>20</v>
      </c>
      <c r="N110" s="15">
        <v>18</v>
      </c>
      <c r="O110" s="16">
        <f t="shared" si="10"/>
        <v>150</v>
      </c>
      <c r="P110" s="1">
        <f t="shared" si="11"/>
        <v>960</v>
      </c>
      <c r="Q110">
        <f t="shared" si="12"/>
        <v>774</v>
      </c>
      <c r="R110">
        <f t="shared" si="13"/>
        <v>655</v>
      </c>
      <c r="S110">
        <f t="shared" si="14"/>
        <v>307.60000000000002</v>
      </c>
      <c r="T110">
        <f t="shared" si="15"/>
        <v>297.2</v>
      </c>
      <c r="U110" s="21">
        <f t="shared" si="19"/>
        <v>0.84625322997416019</v>
      </c>
      <c r="V110" s="21">
        <f t="shared" si="16"/>
        <v>0.96618985695708715</v>
      </c>
      <c r="W110" s="21">
        <f t="shared" si="17"/>
        <v>0.46961832061068703</v>
      </c>
      <c r="X110">
        <f t="shared" si="18"/>
        <v>0.38397932816537472</v>
      </c>
    </row>
    <row r="111" spans="1:24" x14ac:dyDescent="0.3">
      <c r="A111" s="2">
        <v>110</v>
      </c>
      <c r="B111" s="2" t="s">
        <v>5</v>
      </c>
      <c r="C111" s="2">
        <f>Découpe!C111-Découpe!D111-Découpe!E111</f>
        <v>1359</v>
      </c>
      <c r="D111" s="13">
        <v>27</v>
      </c>
      <c r="E111" s="13">
        <v>24</v>
      </c>
      <c r="F111" s="14">
        <v>40</v>
      </c>
      <c r="G111" s="14">
        <v>6</v>
      </c>
      <c r="H111" s="15">
        <v>6</v>
      </c>
      <c r="I111" s="14">
        <v>17</v>
      </c>
      <c r="J111" s="15">
        <v>7</v>
      </c>
      <c r="L111" s="14">
        <v>30</v>
      </c>
      <c r="N111" s="15">
        <v>20</v>
      </c>
      <c r="O111" s="16">
        <f t="shared" si="10"/>
        <v>150</v>
      </c>
      <c r="P111" s="1">
        <f t="shared" si="11"/>
        <v>960</v>
      </c>
      <c r="Q111">
        <f t="shared" si="12"/>
        <v>777</v>
      </c>
      <c r="R111">
        <f t="shared" si="13"/>
        <v>684</v>
      </c>
      <c r="S111">
        <f t="shared" si="14"/>
        <v>271.8</v>
      </c>
      <c r="T111">
        <f t="shared" si="15"/>
        <v>261.60000000000002</v>
      </c>
      <c r="U111" s="21">
        <f t="shared" si="19"/>
        <v>0.88030888030888033</v>
      </c>
      <c r="V111" s="21">
        <f t="shared" si="16"/>
        <v>0.96247240618101548</v>
      </c>
      <c r="W111" s="21">
        <f t="shared" si="17"/>
        <v>0.39736842105263159</v>
      </c>
      <c r="X111">
        <f t="shared" si="18"/>
        <v>0.33667953667953671</v>
      </c>
    </row>
    <row r="112" spans="1:24" x14ac:dyDescent="0.3">
      <c r="A112" s="2">
        <v>111</v>
      </c>
      <c r="B112" s="2" t="s">
        <v>3</v>
      </c>
      <c r="C112" s="2">
        <f>Découpe!C112-Découpe!D112-Découpe!E112</f>
        <v>1486</v>
      </c>
      <c r="D112" s="13">
        <v>23</v>
      </c>
      <c r="E112" s="13">
        <v>23</v>
      </c>
      <c r="F112" s="14">
        <v>32</v>
      </c>
      <c r="G112" s="14">
        <v>15</v>
      </c>
      <c r="H112" s="15">
        <v>5</v>
      </c>
      <c r="I112" s="14">
        <v>11</v>
      </c>
      <c r="J112" s="15">
        <v>6</v>
      </c>
      <c r="K112" s="14">
        <v>20</v>
      </c>
      <c r="L112" s="14">
        <v>19</v>
      </c>
      <c r="N112" s="15">
        <v>18</v>
      </c>
      <c r="O112" s="16">
        <f t="shared" si="10"/>
        <v>150</v>
      </c>
      <c r="P112" s="1">
        <f t="shared" si="11"/>
        <v>960</v>
      </c>
      <c r="Q112">
        <f t="shared" si="12"/>
        <v>781</v>
      </c>
      <c r="R112">
        <f t="shared" si="13"/>
        <v>684</v>
      </c>
      <c r="S112">
        <f t="shared" si="14"/>
        <v>297.2</v>
      </c>
      <c r="T112">
        <f t="shared" si="15"/>
        <v>288</v>
      </c>
      <c r="U112" s="21">
        <f t="shared" si="19"/>
        <v>0.87580025608194623</v>
      </c>
      <c r="V112" s="21">
        <f t="shared" si="16"/>
        <v>0.96904441453566625</v>
      </c>
      <c r="W112" s="21">
        <f t="shared" si="17"/>
        <v>0.43450292397660817</v>
      </c>
      <c r="X112">
        <f t="shared" si="18"/>
        <v>0.36875800256081948</v>
      </c>
    </row>
    <row r="113" spans="1:24" x14ac:dyDescent="0.3">
      <c r="A113" s="2">
        <v>112</v>
      </c>
      <c r="B113" s="2" t="s">
        <v>3</v>
      </c>
      <c r="C113" s="2">
        <f>Découpe!C113-Découpe!D113-Découpe!E113</f>
        <v>1388</v>
      </c>
      <c r="D113" s="13">
        <v>22</v>
      </c>
      <c r="E113" s="13">
        <v>37</v>
      </c>
      <c r="F113" s="14">
        <v>48</v>
      </c>
      <c r="G113" s="14">
        <v>11</v>
      </c>
      <c r="H113" s="15">
        <v>15</v>
      </c>
      <c r="I113" s="14">
        <v>28</v>
      </c>
      <c r="J113" s="15">
        <v>8</v>
      </c>
      <c r="L113" s="14">
        <v>26</v>
      </c>
      <c r="N113" s="15">
        <v>15</v>
      </c>
      <c r="O113" s="16">
        <f t="shared" si="10"/>
        <v>150</v>
      </c>
      <c r="P113" s="1">
        <f t="shared" si="11"/>
        <v>960</v>
      </c>
      <c r="Q113">
        <f t="shared" si="12"/>
        <v>772</v>
      </c>
      <c r="R113">
        <f t="shared" si="13"/>
        <v>659</v>
      </c>
      <c r="S113">
        <f t="shared" si="14"/>
        <v>277.60000000000002</v>
      </c>
      <c r="T113">
        <f t="shared" si="15"/>
        <v>265.8</v>
      </c>
      <c r="U113" s="21">
        <f t="shared" si="19"/>
        <v>0.85362694300518138</v>
      </c>
      <c r="V113" s="21">
        <f t="shared" si="16"/>
        <v>0.95749279538904897</v>
      </c>
      <c r="W113" s="21">
        <f t="shared" si="17"/>
        <v>0.42124430955993936</v>
      </c>
      <c r="X113">
        <f t="shared" si="18"/>
        <v>0.34430051813471507</v>
      </c>
    </row>
    <row r="114" spans="1:24" x14ac:dyDescent="0.3">
      <c r="A114" s="2">
        <v>113</v>
      </c>
      <c r="B114" s="2" t="s">
        <v>5</v>
      </c>
      <c r="C114" s="2">
        <f>Découpe!C114-Découpe!D114-Découpe!E114</f>
        <v>1391</v>
      </c>
      <c r="D114" s="13">
        <v>24</v>
      </c>
      <c r="E114" s="13">
        <v>33</v>
      </c>
      <c r="F114" s="14">
        <v>47</v>
      </c>
      <c r="G114" s="14">
        <v>11</v>
      </c>
      <c r="H114" s="15">
        <v>6</v>
      </c>
      <c r="I114" s="14">
        <v>21</v>
      </c>
      <c r="J114" s="15">
        <v>6</v>
      </c>
      <c r="K114" s="14">
        <v>34</v>
      </c>
      <c r="L114" s="14">
        <v>25</v>
      </c>
      <c r="N114" s="15">
        <v>17</v>
      </c>
      <c r="O114" s="16">
        <f t="shared" si="10"/>
        <v>150</v>
      </c>
      <c r="P114" s="1">
        <f t="shared" si="11"/>
        <v>960</v>
      </c>
      <c r="Q114">
        <f t="shared" si="12"/>
        <v>781</v>
      </c>
      <c r="R114">
        <f t="shared" si="13"/>
        <v>643</v>
      </c>
      <c r="S114">
        <f t="shared" si="14"/>
        <v>278.2</v>
      </c>
      <c r="T114">
        <f t="shared" si="15"/>
        <v>266.8</v>
      </c>
      <c r="U114" s="21">
        <f t="shared" si="19"/>
        <v>0.82330345710627406</v>
      </c>
      <c r="V114" s="21">
        <f t="shared" si="16"/>
        <v>0.95902228612508988</v>
      </c>
      <c r="W114" s="21">
        <f t="shared" si="17"/>
        <v>0.43265940902021771</v>
      </c>
      <c r="X114">
        <f t="shared" si="18"/>
        <v>0.34161331626120361</v>
      </c>
    </row>
    <row r="115" spans="1:24" x14ac:dyDescent="0.3">
      <c r="A115" s="2">
        <v>114</v>
      </c>
      <c r="B115" s="2" t="s">
        <v>2</v>
      </c>
      <c r="C115" s="2">
        <f>Découpe!C115-Découpe!D115-Découpe!E115</f>
        <v>1372</v>
      </c>
      <c r="D115" s="13">
        <v>19</v>
      </c>
      <c r="E115" s="13">
        <v>38</v>
      </c>
      <c r="F115" s="14">
        <v>41</v>
      </c>
      <c r="G115" s="14">
        <v>11</v>
      </c>
      <c r="H115" s="15">
        <v>12</v>
      </c>
      <c r="I115" s="14">
        <v>32</v>
      </c>
      <c r="J115" s="15">
        <v>5</v>
      </c>
      <c r="K115" s="14">
        <v>28</v>
      </c>
      <c r="L115" s="14">
        <v>21</v>
      </c>
      <c r="N115" s="15">
        <v>15</v>
      </c>
      <c r="O115" s="16">
        <f t="shared" si="10"/>
        <v>150</v>
      </c>
      <c r="P115" s="1">
        <f t="shared" si="11"/>
        <v>960</v>
      </c>
      <c r="Q115">
        <f t="shared" si="12"/>
        <v>778</v>
      </c>
      <c r="R115">
        <f t="shared" si="13"/>
        <v>645</v>
      </c>
      <c r="S115">
        <f t="shared" si="14"/>
        <v>274.40000000000003</v>
      </c>
      <c r="T115">
        <f t="shared" si="15"/>
        <v>263</v>
      </c>
      <c r="U115" s="21">
        <f t="shared" si="19"/>
        <v>0.8290488431876607</v>
      </c>
      <c r="V115" s="21">
        <f t="shared" si="16"/>
        <v>0.95845481049562686</v>
      </c>
      <c r="W115" s="21">
        <f t="shared" si="17"/>
        <v>0.42542635658914735</v>
      </c>
      <c r="X115">
        <f t="shared" si="18"/>
        <v>0.33804627249357333</v>
      </c>
    </row>
    <row r="116" spans="1:24" x14ac:dyDescent="0.3">
      <c r="A116" s="2">
        <v>115</v>
      </c>
      <c r="B116" s="2" t="s">
        <v>3</v>
      </c>
      <c r="C116" s="2">
        <f>Découpe!C116-Découpe!D116-Découpe!E116</f>
        <v>1408</v>
      </c>
      <c r="D116" s="13">
        <v>25</v>
      </c>
      <c r="E116" s="13">
        <v>37</v>
      </c>
      <c r="F116" s="14">
        <v>46</v>
      </c>
      <c r="G116" s="14">
        <v>9</v>
      </c>
      <c r="H116" s="15">
        <v>12</v>
      </c>
      <c r="I116" s="14">
        <v>16</v>
      </c>
      <c r="J116" s="15">
        <v>9</v>
      </c>
      <c r="K116" s="14">
        <v>49</v>
      </c>
      <c r="L116" s="14">
        <v>23</v>
      </c>
      <c r="N116" s="15">
        <v>16</v>
      </c>
      <c r="O116" s="16">
        <f t="shared" si="10"/>
        <v>150</v>
      </c>
      <c r="P116" s="1">
        <f t="shared" si="11"/>
        <v>960</v>
      </c>
      <c r="Q116">
        <f t="shared" si="12"/>
        <v>773</v>
      </c>
      <c r="R116">
        <f t="shared" si="13"/>
        <v>630</v>
      </c>
      <c r="S116">
        <f t="shared" si="14"/>
        <v>281.60000000000002</v>
      </c>
      <c r="T116">
        <f t="shared" si="15"/>
        <v>269.2</v>
      </c>
      <c r="U116" s="21">
        <f t="shared" si="19"/>
        <v>0.81500646830530399</v>
      </c>
      <c r="V116" s="21">
        <f t="shared" si="16"/>
        <v>0.95596590909090906</v>
      </c>
      <c r="W116" s="21">
        <f t="shared" si="17"/>
        <v>0.44698412698412704</v>
      </c>
      <c r="X116">
        <f t="shared" si="18"/>
        <v>0.3482535575679172</v>
      </c>
    </row>
    <row r="117" spans="1:24" x14ac:dyDescent="0.3">
      <c r="A117" s="2">
        <v>116</v>
      </c>
      <c r="B117" s="2" t="s">
        <v>4</v>
      </c>
      <c r="C117" s="2">
        <f>Découpe!C117-Découpe!D117-Découpe!E117</f>
        <v>1380</v>
      </c>
      <c r="D117" s="13">
        <v>14</v>
      </c>
      <c r="E117" s="13">
        <v>37</v>
      </c>
      <c r="F117" s="14">
        <v>41</v>
      </c>
      <c r="G117" s="14">
        <v>7</v>
      </c>
      <c r="H117" s="15">
        <v>6</v>
      </c>
      <c r="I117" s="14">
        <v>15</v>
      </c>
      <c r="J117" s="15">
        <v>9</v>
      </c>
      <c r="K117" s="14">
        <v>29</v>
      </c>
      <c r="L117" s="14">
        <v>32</v>
      </c>
      <c r="N117" s="15">
        <v>18</v>
      </c>
      <c r="O117" s="16">
        <f t="shared" si="10"/>
        <v>150</v>
      </c>
      <c r="P117" s="1">
        <f t="shared" si="11"/>
        <v>960</v>
      </c>
      <c r="Q117">
        <f t="shared" si="12"/>
        <v>777</v>
      </c>
      <c r="R117">
        <f t="shared" si="13"/>
        <v>653</v>
      </c>
      <c r="S117">
        <f t="shared" si="14"/>
        <v>276</v>
      </c>
      <c r="T117">
        <f t="shared" si="15"/>
        <v>265.8</v>
      </c>
      <c r="U117" s="21">
        <f t="shared" si="19"/>
        <v>0.84041184041184036</v>
      </c>
      <c r="V117" s="21">
        <f t="shared" si="16"/>
        <v>0.96304347826086956</v>
      </c>
      <c r="W117" s="21">
        <f t="shared" si="17"/>
        <v>0.42266462480857581</v>
      </c>
      <c r="X117">
        <f t="shared" si="18"/>
        <v>0.34208494208494206</v>
      </c>
    </row>
    <row r="118" spans="1:24" x14ac:dyDescent="0.3">
      <c r="A118" s="2">
        <v>117</v>
      </c>
      <c r="B118" s="2" t="s">
        <v>3</v>
      </c>
      <c r="C118" s="2">
        <f>Découpe!C118-Découpe!D118-Découpe!E118</f>
        <v>1375</v>
      </c>
      <c r="D118" s="13">
        <v>26</v>
      </c>
      <c r="E118" s="13">
        <v>24</v>
      </c>
      <c r="F118" s="14">
        <v>33</v>
      </c>
      <c r="G118" s="14">
        <v>12</v>
      </c>
      <c r="H118" s="15">
        <v>7</v>
      </c>
      <c r="I118" s="14">
        <v>11</v>
      </c>
      <c r="J118" s="15">
        <v>6</v>
      </c>
      <c r="K118" s="14">
        <v>20</v>
      </c>
      <c r="L118" s="14">
        <v>33</v>
      </c>
      <c r="N118" s="15">
        <v>16</v>
      </c>
      <c r="O118" s="16">
        <f t="shared" si="10"/>
        <v>150</v>
      </c>
      <c r="P118" s="1">
        <f t="shared" si="11"/>
        <v>960</v>
      </c>
      <c r="Q118">
        <f t="shared" si="12"/>
        <v>781</v>
      </c>
      <c r="R118">
        <f t="shared" si="13"/>
        <v>672</v>
      </c>
      <c r="S118">
        <f t="shared" si="14"/>
        <v>275</v>
      </c>
      <c r="T118">
        <f t="shared" si="15"/>
        <v>265</v>
      </c>
      <c r="U118" s="21">
        <f t="shared" si="19"/>
        <v>0.86043533930857874</v>
      </c>
      <c r="V118" s="21">
        <f t="shared" si="16"/>
        <v>0.96363636363636362</v>
      </c>
      <c r="W118" s="21">
        <f t="shared" si="17"/>
        <v>0.40922619047619047</v>
      </c>
      <c r="X118">
        <f t="shared" si="18"/>
        <v>0.33930857874519849</v>
      </c>
    </row>
    <row r="119" spans="1:24" x14ac:dyDescent="0.3">
      <c r="A119" s="2">
        <v>118</v>
      </c>
      <c r="B119" s="2" t="s">
        <v>5</v>
      </c>
      <c r="C119" s="2">
        <f>Découpe!C119-Découpe!D119-Découpe!E119</f>
        <v>1374</v>
      </c>
      <c r="D119" s="13">
        <v>24</v>
      </c>
      <c r="E119" s="13">
        <v>30</v>
      </c>
      <c r="F119" s="14">
        <v>31</v>
      </c>
      <c r="G119" s="14">
        <v>8</v>
      </c>
      <c r="H119" s="15">
        <v>12</v>
      </c>
      <c r="I119" s="14">
        <v>26</v>
      </c>
      <c r="J119" s="15">
        <v>7</v>
      </c>
      <c r="K119" s="14">
        <v>32</v>
      </c>
      <c r="L119" s="14">
        <v>28</v>
      </c>
      <c r="N119" s="15">
        <v>16</v>
      </c>
      <c r="O119" s="16">
        <f t="shared" si="10"/>
        <v>150</v>
      </c>
      <c r="P119" s="1">
        <f t="shared" si="11"/>
        <v>960</v>
      </c>
      <c r="Q119">
        <f t="shared" si="12"/>
        <v>775</v>
      </c>
      <c r="R119">
        <f t="shared" si="13"/>
        <v>650</v>
      </c>
      <c r="S119">
        <f t="shared" si="14"/>
        <v>274.8</v>
      </c>
      <c r="T119">
        <f t="shared" si="15"/>
        <v>264</v>
      </c>
      <c r="U119" s="21">
        <f t="shared" si="19"/>
        <v>0.83870967741935487</v>
      </c>
      <c r="V119" s="21">
        <f t="shared" si="16"/>
        <v>0.9606986899563319</v>
      </c>
      <c r="W119" s="21">
        <f t="shared" si="17"/>
        <v>0.42276923076923079</v>
      </c>
      <c r="X119">
        <f t="shared" si="18"/>
        <v>0.34064516129032263</v>
      </c>
    </row>
    <row r="120" spans="1:24" x14ac:dyDescent="0.3">
      <c r="A120" s="2">
        <v>119</v>
      </c>
      <c r="B120" s="2" t="s">
        <v>3</v>
      </c>
      <c r="C120" s="2">
        <f>Découpe!C120-Découpe!D120-Découpe!E120</f>
        <v>1290</v>
      </c>
      <c r="D120" s="13">
        <v>25</v>
      </c>
      <c r="E120" s="13">
        <v>22</v>
      </c>
      <c r="F120" s="14">
        <v>36</v>
      </c>
      <c r="G120" s="14">
        <v>12</v>
      </c>
      <c r="H120" s="15">
        <v>11</v>
      </c>
      <c r="I120" s="14">
        <v>18</v>
      </c>
      <c r="J120" s="15">
        <v>8</v>
      </c>
      <c r="K120" s="14">
        <v>17</v>
      </c>
      <c r="L120" s="14">
        <v>28</v>
      </c>
      <c r="N120" s="15">
        <v>15</v>
      </c>
      <c r="O120" s="16">
        <f t="shared" si="10"/>
        <v>150</v>
      </c>
      <c r="P120" s="1">
        <f t="shared" si="11"/>
        <v>960</v>
      </c>
      <c r="Q120">
        <f t="shared" si="12"/>
        <v>776</v>
      </c>
      <c r="R120">
        <f t="shared" si="13"/>
        <v>665</v>
      </c>
      <c r="S120">
        <f t="shared" si="14"/>
        <v>258</v>
      </c>
      <c r="T120">
        <f t="shared" si="15"/>
        <v>248.60000000000002</v>
      </c>
      <c r="U120" s="21">
        <f t="shared" si="19"/>
        <v>0.85695876288659789</v>
      </c>
      <c r="V120" s="21">
        <f t="shared" si="16"/>
        <v>0.9635658914728682</v>
      </c>
      <c r="W120" s="21">
        <f t="shared" si="17"/>
        <v>0.38796992481203008</v>
      </c>
      <c r="X120">
        <f t="shared" si="18"/>
        <v>0.32036082474226801</v>
      </c>
    </row>
    <row r="121" spans="1:24" x14ac:dyDescent="0.3">
      <c r="A121" s="2">
        <v>120</v>
      </c>
      <c r="B121" s="2" t="s">
        <v>5</v>
      </c>
      <c r="C121" s="2">
        <f>Découpe!C121-Découpe!D121-Découpe!E121</f>
        <v>1387</v>
      </c>
      <c r="D121" s="13">
        <v>20</v>
      </c>
      <c r="E121" s="13">
        <v>22</v>
      </c>
      <c r="F121" s="14">
        <v>29</v>
      </c>
      <c r="G121" s="14">
        <v>19</v>
      </c>
      <c r="H121" s="15">
        <v>8</v>
      </c>
      <c r="I121" s="14">
        <v>29</v>
      </c>
      <c r="J121" s="15">
        <v>6</v>
      </c>
      <c r="K121" s="14">
        <v>26</v>
      </c>
      <c r="L121" s="14">
        <v>28</v>
      </c>
      <c r="N121" s="15">
        <v>19</v>
      </c>
      <c r="O121" s="16">
        <f t="shared" si="10"/>
        <v>150</v>
      </c>
      <c r="P121" s="1">
        <f t="shared" si="11"/>
        <v>960</v>
      </c>
      <c r="Q121">
        <f t="shared" si="12"/>
        <v>777</v>
      </c>
      <c r="R121">
        <f t="shared" si="13"/>
        <v>646</v>
      </c>
      <c r="S121">
        <f t="shared" si="14"/>
        <v>277.40000000000003</v>
      </c>
      <c r="T121">
        <f t="shared" si="15"/>
        <v>269</v>
      </c>
      <c r="U121" s="21">
        <f t="shared" si="19"/>
        <v>0.83140283140283144</v>
      </c>
      <c r="V121" s="21">
        <f t="shared" si="16"/>
        <v>0.96971881759192502</v>
      </c>
      <c r="W121" s="21">
        <f t="shared" si="17"/>
        <v>0.42941176470588238</v>
      </c>
      <c r="X121">
        <f t="shared" si="18"/>
        <v>0.34620334620334625</v>
      </c>
    </row>
    <row r="122" spans="1:24" x14ac:dyDescent="0.3">
      <c r="A122" s="2">
        <v>121</v>
      </c>
      <c r="B122" s="2" t="s">
        <v>2</v>
      </c>
      <c r="C122" s="2">
        <f>Découpe!C122-Découpe!D122-Découpe!E122</f>
        <v>1386</v>
      </c>
      <c r="D122" s="13">
        <v>19</v>
      </c>
      <c r="E122" s="13">
        <v>35</v>
      </c>
      <c r="F122" s="14">
        <v>58</v>
      </c>
      <c r="G122" s="14">
        <v>9</v>
      </c>
      <c r="H122" s="15">
        <v>7</v>
      </c>
      <c r="I122" s="14">
        <v>16</v>
      </c>
      <c r="J122" s="15">
        <v>5</v>
      </c>
      <c r="K122" s="14">
        <v>29</v>
      </c>
      <c r="L122" s="14">
        <v>24</v>
      </c>
      <c r="N122" s="15">
        <v>17</v>
      </c>
      <c r="O122" s="16">
        <f t="shared" si="10"/>
        <v>150</v>
      </c>
      <c r="P122" s="1">
        <f t="shared" si="11"/>
        <v>960</v>
      </c>
      <c r="Q122">
        <f t="shared" si="12"/>
        <v>781</v>
      </c>
      <c r="R122">
        <f t="shared" si="13"/>
        <v>645</v>
      </c>
      <c r="S122">
        <f t="shared" si="14"/>
        <v>277.2</v>
      </c>
      <c r="T122">
        <f t="shared" si="15"/>
        <v>266.40000000000003</v>
      </c>
      <c r="U122" s="21">
        <f t="shared" si="19"/>
        <v>0.82586427656850192</v>
      </c>
      <c r="V122" s="21">
        <f t="shared" si="16"/>
        <v>0.96103896103896103</v>
      </c>
      <c r="W122" s="21">
        <f t="shared" si="17"/>
        <v>0.42976744186046512</v>
      </c>
      <c r="X122">
        <f t="shared" si="18"/>
        <v>0.34110115236875799</v>
      </c>
    </row>
    <row r="123" spans="1:24" x14ac:dyDescent="0.3">
      <c r="A123" s="2">
        <v>122</v>
      </c>
      <c r="B123" s="2" t="s">
        <v>4</v>
      </c>
      <c r="C123" s="2">
        <f>Découpe!C123-Découpe!D123-Découpe!E123</f>
        <v>1500</v>
      </c>
      <c r="D123" s="13">
        <v>27</v>
      </c>
      <c r="E123" s="13">
        <v>34</v>
      </c>
      <c r="F123" s="14">
        <v>38</v>
      </c>
      <c r="G123" s="14">
        <v>9</v>
      </c>
      <c r="H123" s="15">
        <v>12</v>
      </c>
      <c r="I123" s="14">
        <v>29</v>
      </c>
      <c r="J123" s="15">
        <v>5</v>
      </c>
      <c r="K123" s="14">
        <v>20</v>
      </c>
      <c r="L123" s="14">
        <v>20</v>
      </c>
      <c r="N123" s="15">
        <v>19</v>
      </c>
      <c r="O123" s="16">
        <f t="shared" si="10"/>
        <v>150</v>
      </c>
      <c r="P123" s="1">
        <f t="shared" si="11"/>
        <v>960</v>
      </c>
      <c r="Q123">
        <f t="shared" si="12"/>
        <v>774</v>
      </c>
      <c r="R123">
        <f t="shared" si="13"/>
        <v>658</v>
      </c>
      <c r="S123">
        <f t="shared" si="14"/>
        <v>300</v>
      </c>
      <c r="T123">
        <f t="shared" si="15"/>
        <v>287.8</v>
      </c>
      <c r="U123" s="21">
        <f t="shared" si="19"/>
        <v>0.85012919896640826</v>
      </c>
      <c r="V123" s="21">
        <f t="shared" si="16"/>
        <v>0.95933333333333337</v>
      </c>
      <c r="W123" s="21">
        <f t="shared" si="17"/>
        <v>0.45592705167173253</v>
      </c>
      <c r="X123">
        <f t="shared" si="18"/>
        <v>0.37183462532299744</v>
      </c>
    </row>
    <row r="124" spans="1:24" x14ac:dyDescent="0.3">
      <c r="A124" s="2">
        <v>123</v>
      </c>
      <c r="B124" s="2" t="s">
        <v>3</v>
      </c>
      <c r="C124" s="2">
        <f>Découpe!C124-Découpe!D124-Découpe!E124</f>
        <v>1419</v>
      </c>
      <c r="D124" s="13">
        <v>26</v>
      </c>
      <c r="E124" s="13">
        <v>40</v>
      </c>
      <c r="F124" s="14">
        <v>49</v>
      </c>
      <c r="G124" s="14">
        <v>9</v>
      </c>
      <c r="H124" s="15">
        <v>15</v>
      </c>
      <c r="I124" s="14">
        <v>19</v>
      </c>
      <c r="J124" s="15">
        <v>7</v>
      </c>
      <c r="K124" s="14">
        <v>23</v>
      </c>
      <c r="L124" s="14">
        <v>20</v>
      </c>
      <c r="N124" s="15">
        <v>19</v>
      </c>
      <c r="O124" s="16">
        <f t="shared" si="10"/>
        <v>150</v>
      </c>
      <c r="P124" s="1">
        <f t="shared" si="11"/>
        <v>960</v>
      </c>
      <c r="Q124">
        <f t="shared" si="12"/>
        <v>769</v>
      </c>
      <c r="R124">
        <f t="shared" si="13"/>
        <v>649</v>
      </c>
      <c r="S124">
        <f t="shared" si="14"/>
        <v>283.8</v>
      </c>
      <c r="T124">
        <f t="shared" si="15"/>
        <v>270.60000000000002</v>
      </c>
      <c r="U124" s="21">
        <f t="shared" si="19"/>
        <v>0.84395318595578672</v>
      </c>
      <c r="V124" s="21">
        <f t="shared" si="16"/>
        <v>0.95348837209302328</v>
      </c>
      <c r="W124" s="21">
        <f t="shared" si="17"/>
        <v>0.43728813559322038</v>
      </c>
      <c r="X124">
        <f t="shared" si="18"/>
        <v>0.35188556566970097</v>
      </c>
    </row>
    <row r="125" spans="1:24" x14ac:dyDescent="0.3">
      <c r="A125" s="2">
        <v>124</v>
      </c>
      <c r="B125" s="2" t="s">
        <v>5</v>
      </c>
      <c r="C125" s="2">
        <f>Découpe!C125-Découpe!D125-Découpe!E125</f>
        <v>1416</v>
      </c>
      <c r="D125" s="13">
        <v>21</v>
      </c>
      <c r="E125" s="13">
        <v>30</v>
      </c>
      <c r="F125" s="14">
        <v>43</v>
      </c>
      <c r="G125" s="14">
        <v>13</v>
      </c>
      <c r="H125" s="15">
        <v>5</v>
      </c>
      <c r="I125" s="14">
        <v>24</v>
      </c>
      <c r="J125" s="15">
        <v>7</v>
      </c>
      <c r="K125" s="14">
        <v>22</v>
      </c>
      <c r="L125" s="14">
        <v>21</v>
      </c>
      <c r="N125" s="15">
        <v>17</v>
      </c>
      <c r="O125" s="16">
        <f t="shared" si="10"/>
        <v>150</v>
      </c>
      <c r="P125" s="1">
        <f t="shared" si="11"/>
        <v>960</v>
      </c>
      <c r="Q125">
        <f t="shared" si="12"/>
        <v>781</v>
      </c>
      <c r="R125">
        <f t="shared" si="13"/>
        <v>658</v>
      </c>
      <c r="S125">
        <f t="shared" si="14"/>
        <v>283.2</v>
      </c>
      <c r="T125">
        <f t="shared" si="15"/>
        <v>273</v>
      </c>
      <c r="U125" s="21">
        <f t="shared" si="19"/>
        <v>0.84250960307298339</v>
      </c>
      <c r="V125" s="21">
        <f t="shared" si="16"/>
        <v>0.96398305084745761</v>
      </c>
      <c r="W125" s="21">
        <f t="shared" si="17"/>
        <v>0.43039513677811547</v>
      </c>
      <c r="X125">
        <f t="shared" si="18"/>
        <v>0.34955185659411009</v>
      </c>
    </row>
    <row r="126" spans="1:24" x14ac:dyDescent="0.3">
      <c r="A126" s="2">
        <v>125</v>
      </c>
      <c r="B126" s="2" t="s">
        <v>4</v>
      </c>
      <c r="C126" s="2">
        <f>Découpe!C126-Découpe!D126-Découpe!E126</f>
        <v>1237</v>
      </c>
      <c r="D126" s="13">
        <v>24</v>
      </c>
      <c r="E126" s="13">
        <v>34</v>
      </c>
      <c r="F126" s="14">
        <v>56</v>
      </c>
      <c r="G126" s="14">
        <v>12</v>
      </c>
      <c r="H126" s="15">
        <v>8</v>
      </c>
      <c r="I126" s="14">
        <v>20</v>
      </c>
      <c r="J126" s="15">
        <v>8</v>
      </c>
      <c r="K126" s="14">
        <v>22</v>
      </c>
      <c r="L126" s="14">
        <v>16</v>
      </c>
      <c r="N126" s="15">
        <v>15</v>
      </c>
      <c r="O126" s="16">
        <f t="shared" si="10"/>
        <v>150</v>
      </c>
      <c r="P126" s="1">
        <f t="shared" si="11"/>
        <v>960</v>
      </c>
      <c r="Q126">
        <f t="shared" si="12"/>
        <v>779</v>
      </c>
      <c r="R126">
        <f t="shared" si="13"/>
        <v>653</v>
      </c>
      <c r="S126">
        <f t="shared" si="14"/>
        <v>247.4</v>
      </c>
      <c r="T126">
        <f t="shared" si="15"/>
        <v>235.8</v>
      </c>
      <c r="U126" s="21">
        <f t="shared" si="19"/>
        <v>0.83825417201540442</v>
      </c>
      <c r="V126" s="21">
        <f t="shared" si="16"/>
        <v>0.95311236863379145</v>
      </c>
      <c r="W126" s="21">
        <f t="shared" si="17"/>
        <v>0.3788667687595712</v>
      </c>
      <c r="X126">
        <f t="shared" si="18"/>
        <v>0.30269576379974328</v>
      </c>
    </row>
    <row r="127" spans="1:24" x14ac:dyDescent="0.3">
      <c r="A127" s="2">
        <v>126</v>
      </c>
      <c r="B127" s="2" t="s">
        <v>3</v>
      </c>
      <c r="C127" s="2">
        <f>Découpe!C127-Découpe!D127-Découpe!E127</f>
        <v>1352</v>
      </c>
      <c r="D127" s="13">
        <v>23</v>
      </c>
      <c r="E127" s="13">
        <v>33</v>
      </c>
      <c r="F127" s="14">
        <v>42</v>
      </c>
      <c r="G127" s="14">
        <v>9</v>
      </c>
      <c r="H127" s="15">
        <v>5</v>
      </c>
      <c r="I127" s="14">
        <v>5</v>
      </c>
      <c r="J127" s="15">
        <v>9</v>
      </c>
      <c r="K127" s="14">
        <v>17</v>
      </c>
      <c r="L127" s="14">
        <v>19</v>
      </c>
      <c r="N127" s="15">
        <v>18</v>
      </c>
      <c r="O127" s="16">
        <f t="shared" si="10"/>
        <v>150</v>
      </c>
      <c r="P127" s="1">
        <f t="shared" si="11"/>
        <v>960</v>
      </c>
      <c r="Q127">
        <f t="shared" si="12"/>
        <v>778</v>
      </c>
      <c r="R127">
        <f t="shared" si="13"/>
        <v>686</v>
      </c>
      <c r="S127">
        <f t="shared" si="14"/>
        <v>270.40000000000003</v>
      </c>
      <c r="T127">
        <f t="shared" si="15"/>
        <v>259.2</v>
      </c>
      <c r="U127" s="21">
        <f t="shared" si="19"/>
        <v>0.8817480719794345</v>
      </c>
      <c r="V127" s="21">
        <f t="shared" si="16"/>
        <v>0.95857988165680474</v>
      </c>
      <c r="W127" s="21">
        <f t="shared" si="17"/>
        <v>0.39416909620991258</v>
      </c>
      <c r="X127">
        <f t="shared" si="18"/>
        <v>0.33316195372750645</v>
      </c>
    </row>
    <row r="128" spans="1:24" x14ac:dyDescent="0.3">
      <c r="A128" s="2">
        <v>127</v>
      </c>
      <c r="B128" s="2" t="s">
        <v>2</v>
      </c>
      <c r="C128" s="2">
        <f>Découpe!C128-Découpe!D128-Découpe!E128</f>
        <v>1291</v>
      </c>
      <c r="D128" s="13">
        <v>21</v>
      </c>
      <c r="E128" s="13">
        <v>33</v>
      </c>
      <c r="F128" s="14">
        <v>43</v>
      </c>
      <c r="G128" s="14">
        <v>8</v>
      </c>
      <c r="H128" s="15">
        <v>14</v>
      </c>
      <c r="I128" s="14">
        <v>14</v>
      </c>
      <c r="J128" s="15">
        <v>8</v>
      </c>
      <c r="K128" s="14">
        <v>32</v>
      </c>
      <c r="L128" s="14">
        <v>23</v>
      </c>
      <c r="M128" s="15">
        <v>60</v>
      </c>
      <c r="N128" s="15">
        <v>19</v>
      </c>
      <c r="O128" s="16">
        <f t="shared" si="10"/>
        <v>150</v>
      </c>
      <c r="P128" s="1">
        <f t="shared" si="11"/>
        <v>960</v>
      </c>
      <c r="Q128">
        <f t="shared" si="12"/>
        <v>709</v>
      </c>
      <c r="R128">
        <f t="shared" si="13"/>
        <v>589</v>
      </c>
      <c r="S128">
        <f t="shared" si="14"/>
        <v>258.2</v>
      </c>
      <c r="T128">
        <f t="shared" si="15"/>
        <v>247.4</v>
      </c>
      <c r="U128" s="21">
        <f t="shared" si="19"/>
        <v>0.83074753173483784</v>
      </c>
      <c r="V128" s="21">
        <f t="shared" si="16"/>
        <v>0.95817195972114644</v>
      </c>
      <c r="W128" s="21">
        <f t="shared" si="17"/>
        <v>0.43837011884550081</v>
      </c>
      <c r="X128">
        <f t="shared" si="18"/>
        <v>0.34894217207334272</v>
      </c>
    </row>
    <row r="129" spans="1:24" x14ac:dyDescent="0.3">
      <c r="A129" s="2">
        <v>128</v>
      </c>
      <c r="B129" s="2" t="s">
        <v>4</v>
      </c>
      <c r="C129" s="2">
        <f>Découpe!C129-Découpe!D129-Découpe!E129</f>
        <v>1232</v>
      </c>
      <c r="D129" s="13">
        <v>26</v>
      </c>
      <c r="E129" s="13">
        <v>32</v>
      </c>
      <c r="F129" s="14">
        <v>40</v>
      </c>
      <c r="G129" s="14">
        <v>9</v>
      </c>
      <c r="H129" s="15">
        <v>13</v>
      </c>
      <c r="I129" s="14">
        <v>13</v>
      </c>
      <c r="J129" s="15">
        <v>7</v>
      </c>
      <c r="K129" s="14">
        <v>16</v>
      </c>
      <c r="L129" s="14">
        <v>26</v>
      </c>
      <c r="N129" s="15">
        <v>16</v>
      </c>
      <c r="O129" s="16">
        <f t="shared" si="10"/>
        <v>150</v>
      </c>
      <c r="P129" s="1">
        <f t="shared" si="11"/>
        <v>960</v>
      </c>
      <c r="Q129">
        <f t="shared" si="12"/>
        <v>774</v>
      </c>
      <c r="R129">
        <f t="shared" si="13"/>
        <v>670</v>
      </c>
      <c r="S129">
        <f t="shared" si="14"/>
        <v>246.4</v>
      </c>
      <c r="T129">
        <f t="shared" si="15"/>
        <v>234.8</v>
      </c>
      <c r="U129" s="21">
        <f t="shared" si="19"/>
        <v>0.86563307493540054</v>
      </c>
      <c r="V129" s="21">
        <f t="shared" si="16"/>
        <v>0.95292207792207795</v>
      </c>
      <c r="W129" s="21">
        <f t="shared" si="17"/>
        <v>0.36776119402985075</v>
      </c>
      <c r="X129">
        <f t="shared" si="18"/>
        <v>0.30335917312661498</v>
      </c>
    </row>
    <row r="130" spans="1:24" x14ac:dyDescent="0.3">
      <c r="A130" s="2">
        <v>129</v>
      </c>
      <c r="B130" s="2" t="s">
        <v>3</v>
      </c>
      <c r="C130" s="2">
        <f>Découpe!C130-Découpe!D130-Découpe!E130</f>
        <v>1303</v>
      </c>
      <c r="D130" s="13">
        <v>20</v>
      </c>
      <c r="E130" s="13">
        <v>22</v>
      </c>
      <c r="F130" s="14">
        <v>31</v>
      </c>
      <c r="G130" s="14">
        <v>9</v>
      </c>
      <c r="H130" s="15">
        <v>10</v>
      </c>
      <c r="I130" s="14">
        <v>10</v>
      </c>
      <c r="J130" s="15">
        <v>6</v>
      </c>
      <c r="K130" s="14">
        <v>26</v>
      </c>
      <c r="L130" s="14">
        <v>26</v>
      </c>
      <c r="N130" s="15">
        <v>19</v>
      </c>
      <c r="O130" s="16">
        <f t="shared" si="10"/>
        <v>150</v>
      </c>
      <c r="P130" s="1">
        <f t="shared" si="11"/>
        <v>960</v>
      </c>
      <c r="Q130">
        <f t="shared" si="12"/>
        <v>775</v>
      </c>
      <c r="R130">
        <f t="shared" si="13"/>
        <v>673</v>
      </c>
      <c r="S130">
        <f t="shared" si="14"/>
        <v>260.60000000000002</v>
      </c>
      <c r="T130">
        <f t="shared" si="15"/>
        <v>252.20000000000002</v>
      </c>
      <c r="U130" s="21">
        <f t="shared" si="19"/>
        <v>0.86838709677419357</v>
      </c>
      <c r="V130" s="21">
        <f t="shared" si="16"/>
        <v>0.96776669224865697</v>
      </c>
      <c r="W130" s="21">
        <f t="shared" si="17"/>
        <v>0.38722139673105499</v>
      </c>
      <c r="X130">
        <f t="shared" si="18"/>
        <v>0.32541935483870971</v>
      </c>
    </row>
    <row r="131" spans="1:24" x14ac:dyDescent="0.3">
      <c r="A131" s="2">
        <v>130</v>
      </c>
      <c r="B131" s="2" t="s">
        <v>3</v>
      </c>
      <c r="C131" s="2">
        <f>Découpe!C131-Découpe!D131-Découpe!E131</f>
        <v>1355</v>
      </c>
      <c r="D131" s="13">
        <v>18</v>
      </c>
      <c r="E131" s="13">
        <v>40</v>
      </c>
      <c r="F131" s="14">
        <v>48</v>
      </c>
      <c r="G131" s="14">
        <v>16</v>
      </c>
      <c r="H131" s="15">
        <v>6</v>
      </c>
      <c r="I131" s="14">
        <v>6</v>
      </c>
      <c r="J131" s="15">
        <v>6</v>
      </c>
      <c r="L131" s="14">
        <v>29</v>
      </c>
      <c r="N131" s="15">
        <v>19</v>
      </c>
      <c r="O131" s="16">
        <f t="shared" ref="O131:O194" si="20">37500/250</f>
        <v>150</v>
      </c>
      <c r="P131" s="1">
        <f t="shared" ref="P131:P194" si="21">4000*60/250</f>
        <v>960</v>
      </c>
      <c r="Q131">
        <f t="shared" ref="Q131:Q194" si="22">P131-H131-J131-M131-N131-O131</f>
        <v>779</v>
      </c>
      <c r="R131">
        <f t="shared" ref="R131:R194" si="23">Q131-F131-G131-I131-K131-L131</f>
        <v>680</v>
      </c>
      <c r="S131">
        <f t="shared" ref="S131:S194" si="24">C131*0.2</f>
        <v>271</v>
      </c>
      <c r="T131">
        <f t="shared" ref="T131:T194" si="25">(C131-D131-E131)*0.2</f>
        <v>259.40000000000003</v>
      </c>
      <c r="U131" s="21">
        <f t="shared" si="19"/>
        <v>0.87291399229781774</v>
      </c>
      <c r="V131" s="21">
        <f t="shared" ref="V131:V194" si="26">(C131-D131-E131)/C131</f>
        <v>0.95719557195571958</v>
      </c>
      <c r="W131" s="21">
        <f t="shared" ref="W131:W194" si="27">S131/R131</f>
        <v>0.39852941176470591</v>
      </c>
      <c r="X131">
        <f t="shared" ref="X131:X194" si="28">U131*V131*W131</f>
        <v>0.33299101412066756</v>
      </c>
    </row>
    <row r="132" spans="1:24" x14ac:dyDescent="0.3">
      <c r="A132" s="2">
        <v>131</v>
      </c>
      <c r="B132" s="2" t="s">
        <v>3</v>
      </c>
      <c r="C132" s="2">
        <f>Découpe!C132-Découpe!D132-Découpe!E132</f>
        <v>1351</v>
      </c>
      <c r="D132" s="13">
        <v>20</v>
      </c>
      <c r="E132" s="13">
        <v>24</v>
      </c>
      <c r="F132" s="14">
        <v>46</v>
      </c>
      <c r="G132" s="14">
        <v>5</v>
      </c>
      <c r="H132" s="15">
        <v>10</v>
      </c>
      <c r="I132" s="14">
        <v>10</v>
      </c>
      <c r="J132" s="15">
        <v>8</v>
      </c>
      <c r="L132" s="14">
        <v>19</v>
      </c>
      <c r="N132" s="15">
        <v>20</v>
      </c>
      <c r="O132" s="16">
        <f t="shared" si="20"/>
        <v>150</v>
      </c>
      <c r="P132" s="1">
        <f t="shared" si="21"/>
        <v>960</v>
      </c>
      <c r="Q132">
        <f t="shared" si="22"/>
        <v>772</v>
      </c>
      <c r="R132">
        <f t="shared" si="23"/>
        <v>692</v>
      </c>
      <c r="S132">
        <f t="shared" si="24"/>
        <v>270.2</v>
      </c>
      <c r="T132">
        <f t="shared" si="25"/>
        <v>261.40000000000003</v>
      </c>
      <c r="U132" s="21">
        <f t="shared" ref="U132:U195" si="29">R132/Q132</f>
        <v>0.89637305699481862</v>
      </c>
      <c r="V132" s="21">
        <f t="shared" si="26"/>
        <v>0.96743153219837152</v>
      </c>
      <c r="W132" s="21">
        <f t="shared" si="27"/>
        <v>0.3904624277456647</v>
      </c>
      <c r="X132">
        <f t="shared" si="28"/>
        <v>0.33860103626942994</v>
      </c>
    </row>
    <row r="133" spans="1:24" x14ac:dyDescent="0.3">
      <c r="A133" s="2">
        <v>132</v>
      </c>
      <c r="B133" s="2" t="s">
        <v>5</v>
      </c>
      <c r="C133" s="2">
        <f>Découpe!C133-Découpe!D133-Découpe!E133</f>
        <v>1363</v>
      </c>
      <c r="D133" s="13">
        <v>21</v>
      </c>
      <c r="E133" s="13">
        <v>32</v>
      </c>
      <c r="F133" s="14">
        <v>36</v>
      </c>
      <c r="G133" s="14">
        <v>11</v>
      </c>
      <c r="H133" s="15">
        <v>9</v>
      </c>
      <c r="I133" s="14">
        <v>9</v>
      </c>
      <c r="J133" s="15">
        <v>9</v>
      </c>
      <c r="K133" s="14">
        <v>31</v>
      </c>
      <c r="L133" s="14">
        <v>18</v>
      </c>
      <c r="N133" s="15">
        <v>20</v>
      </c>
      <c r="O133" s="16">
        <f t="shared" si="20"/>
        <v>150</v>
      </c>
      <c r="P133" s="1">
        <f t="shared" si="21"/>
        <v>960</v>
      </c>
      <c r="Q133">
        <f t="shared" si="22"/>
        <v>772</v>
      </c>
      <c r="R133">
        <f t="shared" si="23"/>
        <v>667</v>
      </c>
      <c r="S133">
        <f t="shared" si="24"/>
        <v>272.60000000000002</v>
      </c>
      <c r="T133">
        <f t="shared" si="25"/>
        <v>262</v>
      </c>
      <c r="U133" s="21">
        <f t="shared" si="29"/>
        <v>0.86398963730569944</v>
      </c>
      <c r="V133" s="21">
        <f t="shared" si="26"/>
        <v>0.96111518708730737</v>
      </c>
      <c r="W133" s="21">
        <f t="shared" si="27"/>
        <v>0.40869565217391307</v>
      </c>
      <c r="X133">
        <f t="shared" si="28"/>
        <v>0.3393782383419689</v>
      </c>
    </row>
    <row r="134" spans="1:24" x14ac:dyDescent="0.3">
      <c r="A134" s="2">
        <v>133</v>
      </c>
      <c r="B134" s="2" t="s">
        <v>5</v>
      </c>
      <c r="C134" s="2">
        <f>Découpe!C134-Découpe!D134-Découpe!E134</f>
        <v>1450</v>
      </c>
      <c r="D134" s="13">
        <v>18</v>
      </c>
      <c r="E134" s="13">
        <v>29</v>
      </c>
      <c r="F134" s="14">
        <v>47</v>
      </c>
      <c r="G134" s="14">
        <v>18</v>
      </c>
      <c r="H134" s="15">
        <v>10</v>
      </c>
      <c r="I134" s="14">
        <v>10</v>
      </c>
      <c r="J134" s="15">
        <v>5</v>
      </c>
      <c r="L134" s="14">
        <v>20</v>
      </c>
      <c r="N134" s="15">
        <v>20</v>
      </c>
      <c r="O134" s="16">
        <f t="shared" si="20"/>
        <v>150</v>
      </c>
      <c r="P134" s="1">
        <f t="shared" si="21"/>
        <v>960</v>
      </c>
      <c r="Q134">
        <f t="shared" si="22"/>
        <v>775</v>
      </c>
      <c r="R134">
        <f t="shared" si="23"/>
        <v>680</v>
      </c>
      <c r="S134">
        <f t="shared" si="24"/>
        <v>290</v>
      </c>
      <c r="T134">
        <f t="shared" si="25"/>
        <v>280.60000000000002</v>
      </c>
      <c r="U134" s="21">
        <f t="shared" si="29"/>
        <v>0.8774193548387097</v>
      </c>
      <c r="V134" s="21">
        <f t="shared" si="26"/>
        <v>0.96758620689655173</v>
      </c>
      <c r="W134" s="21">
        <f t="shared" si="27"/>
        <v>0.4264705882352941</v>
      </c>
      <c r="X134">
        <f t="shared" si="28"/>
        <v>0.36206451612903223</v>
      </c>
    </row>
    <row r="135" spans="1:24" x14ac:dyDescent="0.3">
      <c r="A135" s="2">
        <v>134</v>
      </c>
      <c r="B135" s="2" t="s">
        <v>4</v>
      </c>
      <c r="C135" s="2">
        <f>Découpe!C135-Découpe!D135-Découpe!E135</f>
        <v>1341</v>
      </c>
      <c r="D135" s="13">
        <v>21</v>
      </c>
      <c r="E135" s="13">
        <v>34</v>
      </c>
      <c r="F135" s="14">
        <v>47</v>
      </c>
      <c r="G135" s="14">
        <v>8</v>
      </c>
      <c r="H135" s="15">
        <v>6</v>
      </c>
      <c r="I135" s="14">
        <v>6</v>
      </c>
      <c r="J135" s="15">
        <v>7</v>
      </c>
      <c r="K135" s="14">
        <v>16</v>
      </c>
      <c r="L135" s="14">
        <v>18</v>
      </c>
      <c r="N135" s="15">
        <v>16</v>
      </c>
      <c r="O135" s="16">
        <f t="shared" si="20"/>
        <v>150</v>
      </c>
      <c r="P135" s="1">
        <f t="shared" si="21"/>
        <v>960</v>
      </c>
      <c r="Q135">
        <f t="shared" si="22"/>
        <v>781</v>
      </c>
      <c r="R135">
        <f t="shared" si="23"/>
        <v>686</v>
      </c>
      <c r="S135">
        <f t="shared" si="24"/>
        <v>268.2</v>
      </c>
      <c r="T135">
        <f t="shared" si="25"/>
        <v>257.2</v>
      </c>
      <c r="U135" s="21">
        <f t="shared" si="29"/>
        <v>0.87836107554417409</v>
      </c>
      <c r="V135" s="21">
        <f t="shared" si="26"/>
        <v>0.95898583146905292</v>
      </c>
      <c r="W135" s="21">
        <f t="shared" si="27"/>
        <v>0.39096209912536439</v>
      </c>
      <c r="X135">
        <f t="shared" si="28"/>
        <v>0.32932138284250956</v>
      </c>
    </row>
    <row r="136" spans="1:24" x14ac:dyDescent="0.3">
      <c r="A136" s="2">
        <v>135</v>
      </c>
      <c r="B136" s="2" t="s">
        <v>3</v>
      </c>
      <c r="C136" s="2">
        <f>Découpe!C136-Découpe!D136-Découpe!E136</f>
        <v>1329</v>
      </c>
      <c r="D136" s="13">
        <v>25</v>
      </c>
      <c r="E136" s="13">
        <v>33</v>
      </c>
      <c r="F136" s="14">
        <v>49</v>
      </c>
      <c r="G136" s="14">
        <v>14</v>
      </c>
      <c r="H136" s="15">
        <v>9</v>
      </c>
      <c r="I136" s="14">
        <v>9</v>
      </c>
      <c r="J136" s="15">
        <v>5</v>
      </c>
      <c r="K136" s="14">
        <v>16</v>
      </c>
      <c r="L136" s="14">
        <v>27</v>
      </c>
      <c r="N136" s="15">
        <v>20</v>
      </c>
      <c r="O136" s="16">
        <f t="shared" si="20"/>
        <v>150</v>
      </c>
      <c r="P136" s="1">
        <f t="shared" si="21"/>
        <v>960</v>
      </c>
      <c r="Q136">
        <f t="shared" si="22"/>
        <v>776</v>
      </c>
      <c r="R136">
        <f t="shared" si="23"/>
        <v>661</v>
      </c>
      <c r="S136">
        <f t="shared" si="24"/>
        <v>265.8</v>
      </c>
      <c r="T136">
        <f t="shared" si="25"/>
        <v>254.20000000000002</v>
      </c>
      <c r="U136" s="21">
        <f t="shared" si="29"/>
        <v>0.85180412371134018</v>
      </c>
      <c r="V136" s="21">
        <f t="shared" si="26"/>
        <v>0.95635816403310758</v>
      </c>
      <c r="W136" s="21">
        <f t="shared" si="27"/>
        <v>0.40211800302571865</v>
      </c>
      <c r="X136">
        <f t="shared" si="28"/>
        <v>0.32757731958762887</v>
      </c>
    </row>
    <row r="137" spans="1:24" x14ac:dyDescent="0.3">
      <c r="A137" s="2">
        <v>136</v>
      </c>
      <c r="B137" s="2" t="s">
        <v>2</v>
      </c>
      <c r="C137" s="2">
        <f>Découpe!C137-Découpe!D137-Découpe!E137</f>
        <v>1254</v>
      </c>
      <c r="D137" s="13">
        <v>15</v>
      </c>
      <c r="E137" s="13">
        <v>34</v>
      </c>
      <c r="F137" s="14">
        <v>46</v>
      </c>
      <c r="G137" s="14">
        <v>14</v>
      </c>
      <c r="H137" s="15">
        <v>12</v>
      </c>
      <c r="I137" s="14">
        <v>12</v>
      </c>
      <c r="J137" s="15">
        <v>8</v>
      </c>
      <c r="K137" s="14">
        <v>30</v>
      </c>
      <c r="L137" s="14">
        <v>25</v>
      </c>
      <c r="N137" s="15">
        <v>19</v>
      </c>
      <c r="O137" s="16">
        <f t="shared" si="20"/>
        <v>150</v>
      </c>
      <c r="P137" s="1">
        <f t="shared" si="21"/>
        <v>960</v>
      </c>
      <c r="Q137">
        <f t="shared" si="22"/>
        <v>771</v>
      </c>
      <c r="R137">
        <f t="shared" si="23"/>
        <v>644</v>
      </c>
      <c r="S137">
        <f t="shared" si="24"/>
        <v>250.8</v>
      </c>
      <c r="T137">
        <f t="shared" si="25"/>
        <v>241</v>
      </c>
      <c r="U137" s="21">
        <f t="shared" si="29"/>
        <v>0.83527885862516216</v>
      </c>
      <c r="V137" s="21">
        <f t="shared" si="26"/>
        <v>0.96092503987240829</v>
      </c>
      <c r="W137" s="21">
        <f t="shared" si="27"/>
        <v>0.38944099378881991</v>
      </c>
      <c r="X137">
        <f t="shared" si="28"/>
        <v>0.31258106355382625</v>
      </c>
    </row>
    <row r="138" spans="1:24" x14ac:dyDescent="0.3">
      <c r="A138" s="2">
        <v>137</v>
      </c>
      <c r="B138" s="2" t="s">
        <v>4</v>
      </c>
      <c r="C138" s="2">
        <f>Découpe!C138-Découpe!D138-Découpe!E138</f>
        <v>1262</v>
      </c>
      <c r="D138" s="13">
        <v>21</v>
      </c>
      <c r="E138" s="13">
        <v>37</v>
      </c>
      <c r="F138" s="14">
        <v>46</v>
      </c>
      <c r="G138" s="14">
        <v>5</v>
      </c>
      <c r="H138" s="15">
        <v>7</v>
      </c>
      <c r="I138" s="14">
        <v>7</v>
      </c>
      <c r="J138" s="15">
        <v>9</v>
      </c>
      <c r="K138" s="14">
        <v>36</v>
      </c>
      <c r="L138" s="14">
        <v>23</v>
      </c>
      <c r="N138" s="15">
        <v>17</v>
      </c>
      <c r="O138" s="16">
        <f t="shared" si="20"/>
        <v>150</v>
      </c>
      <c r="P138" s="1">
        <f t="shared" si="21"/>
        <v>960</v>
      </c>
      <c r="Q138">
        <f t="shared" si="22"/>
        <v>777</v>
      </c>
      <c r="R138">
        <f t="shared" si="23"/>
        <v>660</v>
      </c>
      <c r="S138">
        <f t="shared" si="24"/>
        <v>252.4</v>
      </c>
      <c r="T138">
        <f t="shared" si="25"/>
        <v>240.8</v>
      </c>
      <c r="U138" s="21">
        <f t="shared" si="29"/>
        <v>0.84942084942084939</v>
      </c>
      <c r="V138" s="21">
        <f t="shared" si="26"/>
        <v>0.95404120443740092</v>
      </c>
      <c r="W138" s="21">
        <f t="shared" si="27"/>
        <v>0.38242424242424244</v>
      </c>
      <c r="X138">
        <f t="shared" si="28"/>
        <v>0.30990990990990991</v>
      </c>
    </row>
    <row r="139" spans="1:24" x14ac:dyDescent="0.3">
      <c r="A139" s="2">
        <v>138</v>
      </c>
      <c r="B139" s="2" t="s">
        <v>3</v>
      </c>
      <c r="C139" s="2">
        <f>Découpe!C139-Découpe!D139-Découpe!E139</f>
        <v>1179</v>
      </c>
      <c r="D139" s="13">
        <v>27</v>
      </c>
      <c r="E139" s="13">
        <v>22</v>
      </c>
      <c r="F139" s="14">
        <v>35</v>
      </c>
      <c r="G139" s="14">
        <v>7</v>
      </c>
      <c r="H139" s="15">
        <v>9</v>
      </c>
      <c r="I139" s="14">
        <v>9</v>
      </c>
      <c r="J139" s="15">
        <v>5</v>
      </c>
      <c r="K139" s="14">
        <v>45</v>
      </c>
      <c r="L139" s="14">
        <v>25</v>
      </c>
      <c r="N139" s="15">
        <v>18</v>
      </c>
      <c r="O139" s="16">
        <f t="shared" si="20"/>
        <v>150</v>
      </c>
      <c r="P139" s="1">
        <f t="shared" si="21"/>
        <v>960</v>
      </c>
      <c r="Q139">
        <f t="shared" si="22"/>
        <v>778</v>
      </c>
      <c r="R139">
        <f t="shared" si="23"/>
        <v>657</v>
      </c>
      <c r="S139">
        <f t="shared" si="24"/>
        <v>235.8</v>
      </c>
      <c r="T139">
        <f t="shared" si="25"/>
        <v>226</v>
      </c>
      <c r="U139" s="21">
        <f t="shared" si="29"/>
        <v>0.84447300771208222</v>
      </c>
      <c r="V139" s="21">
        <f t="shared" si="26"/>
        <v>0.95843935538592029</v>
      </c>
      <c r="W139" s="21">
        <f t="shared" si="27"/>
        <v>0.35890410958904112</v>
      </c>
      <c r="X139">
        <f t="shared" si="28"/>
        <v>0.29048843187660672</v>
      </c>
    </row>
    <row r="140" spans="1:24" x14ac:dyDescent="0.3">
      <c r="A140" s="2">
        <v>139</v>
      </c>
      <c r="B140" s="2" t="s">
        <v>2</v>
      </c>
      <c r="C140" s="2">
        <f>Découpe!C140-Découpe!D140-Découpe!E140</f>
        <v>1149</v>
      </c>
      <c r="D140" s="13">
        <v>22</v>
      </c>
      <c r="E140" s="13">
        <v>26</v>
      </c>
      <c r="F140" s="14">
        <v>42</v>
      </c>
      <c r="G140" s="14">
        <v>4</v>
      </c>
      <c r="H140" s="15">
        <v>12</v>
      </c>
      <c r="I140" s="14">
        <v>12</v>
      </c>
      <c r="J140" s="15">
        <v>8</v>
      </c>
      <c r="K140" s="14">
        <v>28</v>
      </c>
      <c r="L140" s="14">
        <v>29</v>
      </c>
      <c r="N140" s="15">
        <v>17</v>
      </c>
      <c r="O140" s="16">
        <f t="shared" si="20"/>
        <v>150</v>
      </c>
      <c r="P140" s="1">
        <f t="shared" si="21"/>
        <v>960</v>
      </c>
      <c r="Q140">
        <f t="shared" si="22"/>
        <v>773</v>
      </c>
      <c r="R140">
        <f t="shared" si="23"/>
        <v>658</v>
      </c>
      <c r="S140">
        <f t="shared" si="24"/>
        <v>229.8</v>
      </c>
      <c r="T140">
        <f t="shared" si="25"/>
        <v>220.20000000000002</v>
      </c>
      <c r="U140" s="21">
        <f t="shared" si="29"/>
        <v>0.85122897800776198</v>
      </c>
      <c r="V140" s="21">
        <f t="shared" si="26"/>
        <v>0.95822454308093996</v>
      </c>
      <c r="W140" s="21">
        <f t="shared" si="27"/>
        <v>0.34924012158054712</v>
      </c>
      <c r="X140">
        <f t="shared" si="28"/>
        <v>0.28486416558861583</v>
      </c>
    </row>
    <row r="141" spans="1:24" x14ac:dyDescent="0.3">
      <c r="A141" s="2">
        <v>140</v>
      </c>
      <c r="B141" s="2" t="s">
        <v>3</v>
      </c>
      <c r="C141" s="2">
        <f>Découpe!C141-Découpe!D141-Découpe!E141</f>
        <v>1269</v>
      </c>
      <c r="D141" s="13">
        <v>20</v>
      </c>
      <c r="E141" s="13">
        <v>25</v>
      </c>
      <c r="F141" s="14">
        <v>34</v>
      </c>
      <c r="G141" s="14">
        <v>12</v>
      </c>
      <c r="H141" s="15">
        <v>6</v>
      </c>
      <c r="I141" s="14">
        <v>6</v>
      </c>
      <c r="J141" s="15">
        <v>9</v>
      </c>
      <c r="K141" s="14">
        <v>40</v>
      </c>
      <c r="L141" s="14">
        <v>30</v>
      </c>
      <c r="N141" s="15">
        <v>20</v>
      </c>
      <c r="O141" s="16">
        <f t="shared" si="20"/>
        <v>150</v>
      </c>
      <c r="P141" s="1">
        <f t="shared" si="21"/>
        <v>960</v>
      </c>
      <c r="Q141">
        <f t="shared" si="22"/>
        <v>775</v>
      </c>
      <c r="R141">
        <f t="shared" si="23"/>
        <v>653</v>
      </c>
      <c r="S141">
        <f t="shared" si="24"/>
        <v>253.8</v>
      </c>
      <c r="T141">
        <f t="shared" si="25"/>
        <v>244.8</v>
      </c>
      <c r="U141" s="21">
        <f t="shared" si="29"/>
        <v>0.84258064516129028</v>
      </c>
      <c r="V141" s="21">
        <f t="shared" si="26"/>
        <v>0.96453900709219853</v>
      </c>
      <c r="W141" s="21">
        <f t="shared" si="27"/>
        <v>0.38866768759571213</v>
      </c>
      <c r="X141">
        <f t="shared" si="28"/>
        <v>0.31587096774193546</v>
      </c>
    </row>
    <row r="142" spans="1:24" x14ac:dyDescent="0.3">
      <c r="A142" s="2">
        <v>141</v>
      </c>
      <c r="B142" s="2" t="s">
        <v>3</v>
      </c>
      <c r="C142" s="2">
        <f>Découpe!C142-Découpe!D142-Découpe!E142</f>
        <v>1274</v>
      </c>
      <c r="D142" s="13">
        <v>23</v>
      </c>
      <c r="E142" s="13">
        <v>35</v>
      </c>
      <c r="F142" s="14">
        <v>50</v>
      </c>
      <c r="G142" s="14">
        <v>18</v>
      </c>
      <c r="H142" s="15">
        <v>6</v>
      </c>
      <c r="I142" s="14">
        <v>6</v>
      </c>
      <c r="J142" s="15">
        <v>9</v>
      </c>
      <c r="L142" s="14">
        <v>18</v>
      </c>
      <c r="N142" s="15">
        <v>16</v>
      </c>
      <c r="O142" s="16">
        <f t="shared" si="20"/>
        <v>150</v>
      </c>
      <c r="P142" s="1">
        <f t="shared" si="21"/>
        <v>960</v>
      </c>
      <c r="Q142">
        <f t="shared" si="22"/>
        <v>779</v>
      </c>
      <c r="R142">
        <f t="shared" si="23"/>
        <v>687</v>
      </c>
      <c r="S142">
        <f t="shared" si="24"/>
        <v>254.8</v>
      </c>
      <c r="T142">
        <f t="shared" si="25"/>
        <v>243.20000000000002</v>
      </c>
      <c r="U142" s="21">
        <f t="shared" si="29"/>
        <v>0.88189987163029526</v>
      </c>
      <c r="V142" s="21">
        <f t="shared" si="26"/>
        <v>0.95447409733124022</v>
      </c>
      <c r="W142" s="21">
        <f t="shared" si="27"/>
        <v>0.37088791848617175</v>
      </c>
      <c r="X142">
        <f t="shared" si="28"/>
        <v>0.31219512195121951</v>
      </c>
    </row>
    <row r="143" spans="1:24" x14ac:dyDescent="0.3">
      <c r="A143" s="2">
        <v>142</v>
      </c>
      <c r="B143" s="2" t="s">
        <v>5</v>
      </c>
      <c r="C143" s="2">
        <f>Découpe!C143-Découpe!D143-Découpe!E143</f>
        <v>1294</v>
      </c>
      <c r="D143" s="13">
        <v>22</v>
      </c>
      <c r="E143" s="13">
        <v>29</v>
      </c>
      <c r="F143" s="14">
        <v>48</v>
      </c>
      <c r="G143" s="14">
        <v>12</v>
      </c>
      <c r="H143" s="15">
        <v>13</v>
      </c>
      <c r="I143" s="14">
        <v>13</v>
      </c>
      <c r="J143" s="15">
        <v>9</v>
      </c>
      <c r="K143" s="14">
        <v>38</v>
      </c>
      <c r="L143" s="14">
        <v>27</v>
      </c>
      <c r="N143" s="15">
        <v>15</v>
      </c>
      <c r="O143" s="16">
        <f t="shared" si="20"/>
        <v>150</v>
      </c>
      <c r="P143" s="1">
        <f t="shared" si="21"/>
        <v>960</v>
      </c>
      <c r="Q143">
        <f t="shared" si="22"/>
        <v>773</v>
      </c>
      <c r="R143">
        <f t="shared" si="23"/>
        <v>635</v>
      </c>
      <c r="S143">
        <f t="shared" si="24"/>
        <v>258.8</v>
      </c>
      <c r="T143">
        <f t="shared" si="25"/>
        <v>248.60000000000002</v>
      </c>
      <c r="U143" s="21">
        <f t="shared" si="29"/>
        <v>0.82147477360931431</v>
      </c>
      <c r="V143" s="21">
        <f t="shared" si="26"/>
        <v>0.96058732612055642</v>
      </c>
      <c r="W143" s="21">
        <f t="shared" si="27"/>
        <v>0.40755905511811025</v>
      </c>
      <c r="X143">
        <f t="shared" si="28"/>
        <v>0.32160413971539459</v>
      </c>
    </row>
    <row r="144" spans="1:24" x14ac:dyDescent="0.3">
      <c r="A144" s="2">
        <v>143</v>
      </c>
      <c r="B144" s="2" t="s">
        <v>2</v>
      </c>
      <c r="C144" s="2">
        <f>Découpe!C144-Découpe!D144-Découpe!E144</f>
        <v>1354</v>
      </c>
      <c r="D144" s="13">
        <v>19</v>
      </c>
      <c r="E144" s="13">
        <v>30</v>
      </c>
      <c r="F144" s="14">
        <v>46</v>
      </c>
      <c r="G144" s="14">
        <v>6</v>
      </c>
      <c r="H144" s="15">
        <v>10</v>
      </c>
      <c r="I144" s="14">
        <v>10</v>
      </c>
      <c r="J144" s="15">
        <v>6</v>
      </c>
      <c r="K144" s="14">
        <v>19</v>
      </c>
      <c r="L144" s="14">
        <v>23</v>
      </c>
      <c r="N144" s="15">
        <v>20</v>
      </c>
      <c r="O144" s="16">
        <f t="shared" si="20"/>
        <v>150</v>
      </c>
      <c r="P144" s="1">
        <f t="shared" si="21"/>
        <v>960</v>
      </c>
      <c r="Q144">
        <f t="shared" si="22"/>
        <v>774</v>
      </c>
      <c r="R144">
        <f t="shared" si="23"/>
        <v>670</v>
      </c>
      <c r="S144">
        <f t="shared" si="24"/>
        <v>270.8</v>
      </c>
      <c r="T144">
        <f t="shared" si="25"/>
        <v>261</v>
      </c>
      <c r="U144" s="21">
        <f t="shared" si="29"/>
        <v>0.86563307493540054</v>
      </c>
      <c r="V144" s="21">
        <f t="shared" si="26"/>
        <v>0.96381093057607092</v>
      </c>
      <c r="W144" s="21">
        <f t="shared" si="27"/>
        <v>0.40417910447761196</v>
      </c>
      <c r="X144">
        <f t="shared" si="28"/>
        <v>0.33720930232558144</v>
      </c>
    </row>
    <row r="145" spans="1:24" x14ac:dyDescent="0.3">
      <c r="A145" s="2">
        <v>144</v>
      </c>
      <c r="B145" s="2" t="s">
        <v>4</v>
      </c>
      <c r="C145" s="2">
        <f>Découpe!C145-Découpe!D145-Découpe!E145</f>
        <v>1353</v>
      </c>
      <c r="D145" s="13">
        <v>19</v>
      </c>
      <c r="E145" s="13">
        <v>19</v>
      </c>
      <c r="F145" s="14">
        <v>46</v>
      </c>
      <c r="G145" s="14">
        <v>14</v>
      </c>
      <c r="H145" s="15">
        <v>11</v>
      </c>
      <c r="I145" s="14">
        <v>11</v>
      </c>
      <c r="J145" s="15">
        <v>8</v>
      </c>
      <c r="K145" s="14">
        <v>23</v>
      </c>
      <c r="L145" s="14">
        <v>29</v>
      </c>
      <c r="N145" s="15">
        <v>15</v>
      </c>
      <c r="O145" s="16">
        <f t="shared" si="20"/>
        <v>150</v>
      </c>
      <c r="P145" s="1">
        <f t="shared" si="21"/>
        <v>960</v>
      </c>
      <c r="Q145">
        <f t="shared" si="22"/>
        <v>776</v>
      </c>
      <c r="R145">
        <f t="shared" si="23"/>
        <v>653</v>
      </c>
      <c r="S145">
        <f t="shared" si="24"/>
        <v>270.60000000000002</v>
      </c>
      <c r="T145">
        <f t="shared" si="25"/>
        <v>263</v>
      </c>
      <c r="U145" s="21">
        <f t="shared" si="29"/>
        <v>0.84149484536082475</v>
      </c>
      <c r="V145" s="21">
        <f t="shared" si="26"/>
        <v>0.97191426459719144</v>
      </c>
      <c r="W145" s="21">
        <f t="shared" si="27"/>
        <v>0.41439509954058196</v>
      </c>
      <c r="X145">
        <f t="shared" si="28"/>
        <v>0.33891752577319589</v>
      </c>
    </row>
    <row r="146" spans="1:24" x14ac:dyDescent="0.3">
      <c r="A146" s="2">
        <v>145</v>
      </c>
      <c r="B146" s="2" t="s">
        <v>3</v>
      </c>
      <c r="C146" s="2">
        <f>Découpe!C146-Découpe!D146-Découpe!E146</f>
        <v>1305</v>
      </c>
      <c r="D146" s="13">
        <v>24</v>
      </c>
      <c r="E146" s="13">
        <v>33</v>
      </c>
      <c r="F146" s="14">
        <v>38</v>
      </c>
      <c r="G146" s="14">
        <v>13</v>
      </c>
      <c r="H146" s="15">
        <v>12</v>
      </c>
      <c r="I146" s="14">
        <v>12</v>
      </c>
      <c r="J146" s="15">
        <v>5</v>
      </c>
      <c r="K146" s="14">
        <v>45</v>
      </c>
      <c r="L146" s="14">
        <v>28</v>
      </c>
      <c r="N146" s="15">
        <v>16</v>
      </c>
      <c r="O146" s="16">
        <f t="shared" si="20"/>
        <v>150</v>
      </c>
      <c r="P146" s="1">
        <f t="shared" si="21"/>
        <v>960</v>
      </c>
      <c r="Q146">
        <f t="shared" si="22"/>
        <v>777</v>
      </c>
      <c r="R146">
        <f t="shared" si="23"/>
        <v>641</v>
      </c>
      <c r="S146">
        <f t="shared" si="24"/>
        <v>261</v>
      </c>
      <c r="T146">
        <f t="shared" si="25"/>
        <v>249.60000000000002</v>
      </c>
      <c r="U146" s="21">
        <f t="shared" si="29"/>
        <v>0.82496782496782495</v>
      </c>
      <c r="V146" s="21">
        <f t="shared" si="26"/>
        <v>0.95632183908045976</v>
      </c>
      <c r="W146" s="21">
        <f t="shared" si="27"/>
        <v>0.40717628705148207</v>
      </c>
      <c r="X146">
        <f t="shared" si="28"/>
        <v>0.32123552123552118</v>
      </c>
    </row>
    <row r="147" spans="1:24" x14ac:dyDescent="0.3">
      <c r="A147" s="2">
        <v>146</v>
      </c>
      <c r="B147" s="2" t="s">
        <v>5</v>
      </c>
      <c r="C147" s="2">
        <f>Découpe!C147-Découpe!D147-Découpe!E147</f>
        <v>1246</v>
      </c>
      <c r="D147" s="13">
        <v>18</v>
      </c>
      <c r="E147" s="13">
        <v>30</v>
      </c>
      <c r="F147" s="14">
        <v>39</v>
      </c>
      <c r="G147" s="14">
        <v>11</v>
      </c>
      <c r="H147" s="15">
        <v>9</v>
      </c>
      <c r="I147" s="14">
        <v>9</v>
      </c>
      <c r="J147" s="15">
        <v>8</v>
      </c>
      <c r="K147" s="14">
        <v>23</v>
      </c>
      <c r="L147" s="14">
        <v>22</v>
      </c>
      <c r="N147" s="15">
        <v>17</v>
      </c>
      <c r="O147" s="16">
        <f t="shared" si="20"/>
        <v>150</v>
      </c>
      <c r="P147" s="1">
        <f t="shared" si="21"/>
        <v>960</v>
      </c>
      <c r="Q147">
        <f t="shared" si="22"/>
        <v>776</v>
      </c>
      <c r="R147">
        <f t="shared" si="23"/>
        <v>672</v>
      </c>
      <c r="S147">
        <f t="shared" si="24"/>
        <v>249.20000000000002</v>
      </c>
      <c r="T147">
        <f t="shared" si="25"/>
        <v>239.60000000000002</v>
      </c>
      <c r="U147" s="21">
        <f t="shared" si="29"/>
        <v>0.865979381443299</v>
      </c>
      <c r="V147" s="21">
        <f t="shared" si="26"/>
        <v>0.9614767255216693</v>
      </c>
      <c r="W147" s="21">
        <f t="shared" si="27"/>
        <v>0.37083333333333335</v>
      </c>
      <c r="X147">
        <f t="shared" si="28"/>
        <v>0.30876288659793816</v>
      </c>
    </row>
    <row r="148" spans="1:24" x14ac:dyDescent="0.3">
      <c r="A148" s="2">
        <v>147</v>
      </c>
      <c r="B148" s="2" t="s">
        <v>3</v>
      </c>
      <c r="C148" s="2">
        <f>Découpe!C148-Découpe!D148-Découpe!E148</f>
        <v>1287</v>
      </c>
      <c r="D148" s="13">
        <v>16</v>
      </c>
      <c r="E148" s="13">
        <v>26</v>
      </c>
      <c r="F148" s="14">
        <v>49</v>
      </c>
      <c r="G148" s="14">
        <v>6</v>
      </c>
      <c r="H148" s="15">
        <v>11</v>
      </c>
      <c r="I148" s="14">
        <v>11</v>
      </c>
      <c r="J148" s="15">
        <v>9</v>
      </c>
      <c r="K148" s="14">
        <v>34</v>
      </c>
      <c r="L148" s="14">
        <v>20</v>
      </c>
      <c r="N148" s="15">
        <v>16</v>
      </c>
      <c r="O148" s="16">
        <f t="shared" si="20"/>
        <v>150</v>
      </c>
      <c r="P148" s="1">
        <f t="shared" si="21"/>
        <v>960</v>
      </c>
      <c r="Q148">
        <f t="shared" si="22"/>
        <v>774</v>
      </c>
      <c r="R148">
        <f t="shared" si="23"/>
        <v>654</v>
      </c>
      <c r="S148">
        <f t="shared" si="24"/>
        <v>257.40000000000003</v>
      </c>
      <c r="T148">
        <f t="shared" si="25"/>
        <v>249</v>
      </c>
      <c r="U148" s="21">
        <f t="shared" si="29"/>
        <v>0.84496124031007747</v>
      </c>
      <c r="V148" s="21">
        <f t="shared" si="26"/>
        <v>0.96736596736596736</v>
      </c>
      <c r="W148" s="21">
        <f t="shared" si="27"/>
        <v>0.3935779816513762</v>
      </c>
      <c r="X148">
        <f t="shared" si="28"/>
        <v>0.32170542635658916</v>
      </c>
    </row>
    <row r="149" spans="1:24" x14ac:dyDescent="0.3">
      <c r="A149" s="2">
        <v>148</v>
      </c>
      <c r="B149" s="2" t="s">
        <v>5</v>
      </c>
      <c r="C149" s="2">
        <f>Découpe!C149-Découpe!D149-Découpe!E149</f>
        <v>1221</v>
      </c>
      <c r="D149" s="13">
        <v>24</v>
      </c>
      <c r="E149" s="13">
        <v>20</v>
      </c>
      <c r="F149" s="14">
        <v>39</v>
      </c>
      <c r="G149" s="14">
        <v>15</v>
      </c>
      <c r="H149" s="15">
        <v>8</v>
      </c>
      <c r="I149" s="14">
        <v>8</v>
      </c>
      <c r="J149" s="15">
        <v>7</v>
      </c>
      <c r="K149" s="14">
        <v>20</v>
      </c>
      <c r="L149" s="14">
        <v>29</v>
      </c>
      <c r="N149" s="15">
        <v>18</v>
      </c>
      <c r="O149" s="16">
        <f t="shared" si="20"/>
        <v>150</v>
      </c>
      <c r="P149" s="1">
        <f t="shared" si="21"/>
        <v>960</v>
      </c>
      <c r="Q149">
        <f t="shared" si="22"/>
        <v>777</v>
      </c>
      <c r="R149">
        <f t="shared" si="23"/>
        <v>666</v>
      </c>
      <c r="S149">
        <f t="shared" si="24"/>
        <v>244.20000000000002</v>
      </c>
      <c r="T149">
        <f t="shared" si="25"/>
        <v>235.4</v>
      </c>
      <c r="U149" s="21">
        <f t="shared" si="29"/>
        <v>0.8571428571428571</v>
      </c>
      <c r="V149" s="21">
        <f t="shared" si="26"/>
        <v>0.963963963963964</v>
      </c>
      <c r="W149" s="21">
        <f t="shared" si="27"/>
        <v>0.3666666666666667</v>
      </c>
      <c r="X149">
        <f t="shared" si="28"/>
        <v>0.30296010296010301</v>
      </c>
    </row>
    <row r="150" spans="1:24" x14ac:dyDescent="0.3">
      <c r="A150" s="2">
        <v>149</v>
      </c>
      <c r="B150" s="2" t="s">
        <v>2</v>
      </c>
      <c r="C150" s="2">
        <f>Découpe!C150-Découpe!D150-Découpe!E150</f>
        <v>1218</v>
      </c>
      <c r="D150" s="13">
        <v>27</v>
      </c>
      <c r="E150" s="13">
        <v>36</v>
      </c>
      <c r="F150" s="14">
        <v>38</v>
      </c>
      <c r="G150" s="14">
        <v>15</v>
      </c>
      <c r="H150" s="15">
        <v>15</v>
      </c>
      <c r="I150" s="14">
        <v>15</v>
      </c>
      <c r="J150" s="15">
        <v>6</v>
      </c>
      <c r="K150" s="14">
        <v>37</v>
      </c>
      <c r="L150" s="14">
        <v>31</v>
      </c>
      <c r="N150" s="15">
        <v>19</v>
      </c>
      <c r="O150" s="16">
        <f t="shared" si="20"/>
        <v>150</v>
      </c>
      <c r="P150" s="1">
        <f t="shared" si="21"/>
        <v>960</v>
      </c>
      <c r="Q150">
        <f t="shared" si="22"/>
        <v>770</v>
      </c>
      <c r="R150">
        <f t="shared" si="23"/>
        <v>634</v>
      </c>
      <c r="S150">
        <f t="shared" si="24"/>
        <v>243.60000000000002</v>
      </c>
      <c r="T150">
        <f t="shared" si="25"/>
        <v>231</v>
      </c>
      <c r="U150" s="21">
        <f t="shared" si="29"/>
        <v>0.82337662337662343</v>
      </c>
      <c r="V150" s="21">
        <f t="shared" si="26"/>
        <v>0.94827586206896552</v>
      </c>
      <c r="W150" s="21">
        <f t="shared" si="27"/>
        <v>0.38422712933753944</v>
      </c>
      <c r="X150">
        <f t="shared" si="28"/>
        <v>0.30000000000000004</v>
      </c>
    </row>
    <row r="151" spans="1:24" x14ac:dyDescent="0.3">
      <c r="A151" s="2">
        <v>150</v>
      </c>
      <c r="B151" s="2" t="s">
        <v>4</v>
      </c>
      <c r="C151" s="2">
        <f>Découpe!C151-Découpe!D151-Découpe!E151</f>
        <v>1252</v>
      </c>
      <c r="D151" s="13">
        <v>17</v>
      </c>
      <c r="E151" s="13">
        <v>17</v>
      </c>
      <c r="F151" s="14">
        <v>53</v>
      </c>
      <c r="G151" s="14">
        <v>13</v>
      </c>
      <c r="H151" s="15">
        <v>13</v>
      </c>
      <c r="I151" s="14">
        <v>13</v>
      </c>
      <c r="J151" s="15">
        <v>8</v>
      </c>
      <c r="K151" s="14">
        <v>10</v>
      </c>
      <c r="L151" s="14">
        <v>22</v>
      </c>
      <c r="N151" s="15">
        <v>17</v>
      </c>
      <c r="O151" s="16">
        <f t="shared" si="20"/>
        <v>150</v>
      </c>
      <c r="P151" s="1">
        <f t="shared" si="21"/>
        <v>960</v>
      </c>
      <c r="Q151">
        <f t="shared" si="22"/>
        <v>772</v>
      </c>
      <c r="R151">
        <f t="shared" si="23"/>
        <v>661</v>
      </c>
      <c r="S151">
        <f t="shared" si="24"/>
        <v>250.4</v>
      </c>
      <c r="T151">
        <f t="shared" si="25"/>
        <v>243.60000000000002</v>
      </c>
      <c r="U151" s="21">
        <f t="shared" si="29"/>
        <v>0.85621761658031093</v>
      </c>
      <c r="V151" s="21">
        <f t="shared" si="26"/>
        <v>0.97284345047923326</v>
      </c>
      <c r="W151" s="21">
        <f>S151/R151</f>
        <v>0.3788199697428139</v>
      </c>
      <c r="X151">
        <f t="shared" si="28"/>
        <v>0.31554404145077725</v>
      </c>
    </row>
    <row r="152" spans="1:24" x14ac:dyDescent="0.3">
      <c r="A152" s="2">
        <v>151</v>
      </c>
      <c r="B152" s="2" t="s">
        <v>4</v>
      </c>
      <c r="C152" s="2">
        <f>Découpe!C152-Découpe!D152-Découpe!E152</f>
        <v>1265</v>
      </c>
      <c r="D152" s="13">
        <v>18</v>
      </c>
      <c r="E152" s="13">
        <v>27</v>
      </c>
      <c r="F152" s="14">
        <v>53</v>
      </c>
      <c r="G152" s="14">
        <v>8</v>
      </c>
      <c r="H152" s="15">
        <v>10</v>
      </c>
      <c r="I152" s="14">
        <v>10</v>
      </c>
      <c r="J152" s="15">
        <v>9</v>
      </c>
      <c r="L152" s="14">
        <v>22</v>
      </c>
      <c r="N152" s="15">
        <v>19</v>
      </c>
      <c r="O152" s="16">
        <f t="shared" si="20"/>
        <v>150</v>
      </c>
      <c r="P152" s="1">
        <f t="shared" si="21"/>
        <v>960</v>
      </c>
      <c r="Q152">
        <f t="shared" si="22"/>
        <v>772</v>
      </c>
      <c r="R152">
        <f t="shared" si="23"/>
        <v>679</v>
      </c>
      <c r="S152">
        <f t="shared" si="24"/>
        <v>253</v>
      </c>
      <c r="T152">
        <f t="shared" si="25"/>
        <v>244</v>
      </c>
      <c r="U152" s="21">
        <f t="shared" si="29"/>
        <v>0.8795336787564767</v>
      </c>
      <c r="V152" s="21">
        <f t="shared" si="26"/>
        <v>0.96442687747035571</v>
      </c>
      <c r="W152" s="21">
        <f t="shared" si="27"/>
        <v>0.37260677466863035</v>
      </c>
      <c r="X152">
        <f t="shared" si="28"/>
        <v>0.31606217616580312</v>
      </c>
    </row>
    <row r="153" spans="1:24" x14ac:dyDescent="0.3">
      <c r="A153" s="2">
        <v>152</v>
      </c>
      <c r="B153" s="2" t="s">
        <v>3</v>
      </c>
      <c r="C153" s="2">
        <f>Découpe!C153-Découpe!D153-Découpe!E153</f>
        <v>1207</v>
      </c>
      <c r="D153" s="13">
        <v>25</v>
      </c>
      <c r="E153" s="13">
        <v>34</v>
      </c>
      <c r="F153" s="14">
        <v>43</v>
      </c>
      <c r="G153" s="14">
        <v>12</v>
      </c>
      <c r="H153" s="15">
        <v>15</v>
      </c>
      <c r="I153" s="14">
        <v>15</v>
      </c>
      <c r="J153" s="15">
        <v>5</v>
      </c>
      <c r="K153" s="14">
        <v>18</v>
      </c>
      <c r="L153" s="14">
        <v>20</v>
      </c>
      <c r="N153" s="15">
        <v>16</v>
      </c>
      <c r="O153" s="16">
        <f t="shared" si="20"/>
        <v>150</v>
      </c>
      <c r="P153" s="1">
        <f t="shared" si="21"/>
        <v>960</v>
      </c>
      <c r="Q153">
        <f t="shared" si="22"/>
        <v>774</v>
      </c>
      <c r="R153">
        <f t="shared" si="23"/>
        <v>666</v>
      </c>
      <c r="S153">
        <f t="shared" si="24"/>
        <v>241.4</v>
      </c>
      <c r="T153">
        <f t="shared" si="25"/>
        <v>229.60000000000002</v>
      </c>
      <c r="U153" s="21">
        <f t="shared" si="29"/>
        <v>0.86046511627906974</v>
      </c>
      <c r="V153" s="21">
        <f t="shared" si="26"/>
        <v>0.95111847555923779</v>
      </c>
      <c r="W153" s="21">
        <f t="shared" si="27"/>
        <v>0.3624624624624625</v>
      </c>
      <c r="X153">
        <f t="shared" si="28"/>
        <v>0.29664082687338506</v>
      </c>
    </row>
    <row r="154" spans="1:24" x14ac:dyDescent="0.3">
      <c r="A154" s="2">
        <v>153</v>
      </c>
      <c r="B154" s="2" t="s">
        <v>2</v>
      </c>
      <c r="C154" s="2">
        <f>Découpe!C154-Découpe!D154-Découpe!E154</f>
        <v>1243</v>
      </c>
      <c r="D154" s="13">
        <v>17</v>
      </c>
      <c r="E154" s="13">
        <v>31</v>
      </c>
      <c r="F154" s="14">
        <v>34</v>
      </c>
      <c r="G154" s="14">
        <v>9</v>
      </c>
      <c r="H154" s="15">
        <v>8</v>
      </c>
      <c r="I154" s="14">
        <v>8</v>
      </c>
      <c r="J154" s="15">
        <v>9</v>
      </c>
      <c r="K154" s="14">
        <v>26</v>
      </c>
      <c r="L154" s="14">
        <v>27</v>
      </c>
      <c r="N154" s="15">
        <v>16</v>
      </c>
      <c r="O154" s="16">
        <f t="shared" si="20"/>
        <v>150</v>
      </c>
      <c r="P154" s="1">
        <f t="shared" si="21"/>
        <v>960</v>
      </c>
      <c r="Q154">
        <f t="shared" si="22"/>
        <v>777</v>
      </c>
      <c r="R154">
        <f t="shared" si="23"/>
        <v>673</v>
      </c>
      <c r="S154">
        <f t="shared" si="24"/>
        <v>248.60000000000002</v>
      </c>
      <c r="T154">
        <f t="shared" si="25"/>
        <v>239</v>
      </c>
      <c r="U154" s="21">
        <f t="shared" si="29"/>
        <v>0.86615186615186612</v>
      </c>
      <c r="V154" s="21">
        <f t="shared" si="26"/>
        <v>0.96138374899436851</v>
      </c>
      <c r="W154" s="21">
        <f t="shared" si="27"/>
        <v>0.36939078751857357</v>
      </c>
      <c r="X154">
        <f t="shared" si="28"/>
        <v>0.30759330759330761</v>
      </c>
    </row>
    <row r="155" spans="1:24" x14ac:dyDescent="0.3">
      <c r="A155" s="2">
        <v>154</v>
      </c>
      <c r="B155" s="2" t="s">
        <v>4</v>
      </c>
      <c r="C155" s="2">
        <f>Découpe!C155-Découpe!D155-Découpe!E155</f>
        <v>1346</v>
      </c>
      <c r="D155" s="13">
        <v>23</v>
      </c>
      <c r="E155" s="13">
        <v>38</v>
      </c>
      <c r="F155" s="14">
        <v>46</v>
      </c>
      <c r="G155" s="14">
        <v>14</v>
      </c>
      <c r="H155" s="15">
        <v>15</v>
      </c>
      <c r="I155" s="14">
        <v>15</v>
      </c>
      <c r="J155" s="15">
        <v>6</v>
      </c>
      <c r="K155" s="14">
        <v>12</v>
      </c>
      <c r="L155" s="14">
        <v>19</v>
      </c>
      <c r="N155" s="15">
        <v>17</v>
      </c>
      <c r="O155" s="16">
        <f t="shared" si="20"/>
        <v>150</v>
      </c>
      <c r="P155" s="1">
        <f t="shared" si="21"/>
        <v>960</v>
      </c>
      <c r="Q155">
        <f t="shared" si="22"/>
        <v>772</v>
      </c>
      <c r="R155">
        <f t="shared" si="23"/>
        <v>666</v>
      </c>
      <c r="S155">
        <f t="shared" si="24"/>
        <v>269.2</v>
      </c>
      <c r="T155">
        <f t="shared" si="25"/>
        <v>257</v>
      </c>
      <c r="U155" s="21">
        <f t="shared" si="29"/>
        <v>0.86269430051813467</v>
      </c>
      <c r="V155" s="21">
        <f t="shared" si="26"/>
        <v>0.95468053491827642</v>
      </c>
      <c r="W155" s="21">
        <f t="shared" si="27"/>
        <v>0.40420420420420416</v>
      </c>
      <c r="X155">
        <f t="shared" si="28"/>
        <v>0.33290155440414504</v>
      </c>
    </row>
    <row r="156" spans="1:24" x14ac:dyDescent="0.3">
      <c r="A156" s="2">
        <v>155</v>
      </c>
      <c r="B156" s="2" t="s">
        <v>3</v>
      </c>
      <c r="C156" s="2">
        <f>Découpe!C156-Découpe!D156-Découpe!E156</f>
        <v>1157</v>
      </c>
      <c r="D156" s="13">
        <v>22</v>
      </c>
      <c r="E156" s="13">
        <v>27</v>
      </c>
      <c r="F156" s="14">
        <v>38</v>
      </c>
      <c r="G156" s="14">
        <v>5</v>
      </c>
      <c r="H156" s="15">
        <v>5</v>
      </c>
      <c r="I156" s="14">
        <v>5</v>
      </c>
      <c r="J156" s="15">
        <v>5</v>
      </c>
      <c r="K156" s="14">
        <v>22</v>
      </c>
      <c r="L156" s="14">
        <v>31</v>
      </c>
      <c r="N156" s="15">
        <v>18</v>
      </c>
      <c r="O156" s="16">
        <f t="shared" si="20"/>
        <v>150</v>
      </c>
      <c r="P156" s="1">
        <f t="shared" si="21"/>
        <v>960</v>
      </c>
      <c r="Q156">
        <f t="shared" si="22"/>
        <v>782</v>
      </c>
      <c r="R156">
        <f t="shared" si="23"/>
        <v>681</v>
      </c>
      <c r="S156">
        <f t="shared" si="24"/>
        <v>231.4</v>
      </c>
      <c r="T156">
        <f t="shared" si="25"/>
        <v>221.60000000000002</v>
      </c>
      <c r="U156" s="21">
        <f t="shared" si="29"/>
        <v>0.87084398976982103</v>
      </c>
      <c r="V156" s="21">
        <f t="shared" si="26"/>
        <v>0.95764909248055319</v>
      </c>
      <c r="W156" s="21">
        <f t="shared" si="27"/>
        <v>0.33979441997063142</v>
      </c>
      <c r="X156">
        <f t="shared" si="28"/>
        <v>0.28337595907928392</v>
      </c>
    </row>
    <row r="157" spans="1:24" x14ac:dyDescent="0.3">
      <c r="A157" s="2">
        <v>156</v>
      </c>
      <c r="B157" s="2" t="s">
        <v>5</v>
      </c>
      <c r="C157" s="2">
        <f>Découpe!C157-Découpe!D157-Découpe!E157</f>
        <v>1171</v>
      </c>
      <c r="D157" s="13">
        <v>18</v>
      </c>
      <c r="E157" s="13">
        <v>34</v>
      </c>
      <c r="F157" s="14">
        <v>46</v>
      </c>
      <c r="G157" s="14">
        <v>11</v>
      </c>
      <c r="H157" s="15">
        <v>12</v>
      </c>
      <c r="I157" s="14">
        <v>12</v>
      </c>
      <c r="J157" s="15">
        <v>6</v>
      </c>
      <c r="K157" s="14">
        <v>19</v>
      </c>
      <c r="L157" s="14">
        <v>23</v>
      </c>
      <c r="N157" s="15">
        <v>19</v>
      </c>
      <c r="O157" s="16">
        <f t="shared" si="20"/>
        <v>150</v>
      </c>
      <c r="P157" s="1">
        <f t="shared" si="21"/>
        <v>960</v>
      </c>
      <c r="Q157">
        <f t="shared" si="22"/>
        <v>773</v>
      </c>
      <c r="R157">
        <f t="shared" si="23"/>
        <v>662</v>
      </c>
      <c r="S157">
        <f t="shared" si="24"/>
        <v>234.20000000000002</v>
      </c>
      <c r="T157">
        <f t="shared" si="25"/>
        <v>223.8</v>
      </c>
      <c r="U157" s="21">
        <f t="shared" si="29"/>
        <v>0.85640362225097022</v>
      </c>
      <c r="V157" s="21">
        <f t="shared" si="26"/>
        <v>0.95559350982066604</v>
      </c>
      <c r="W157" s="21">
        <f t="shared" si="27"/>
        <v>0.35377643504531725</v>
      </c>
      <c r="X157">
        <f t="shared" si="28"/>
        <v>0.28952134540750324</v>
      </c>
    </row>
    <row r="158" spans="1:24" x14ac:dyDescent="0.3">
      <c r="A158" s="2">
        <v>157</v>
      </c>
      <c r="B158" s="2" t="s">
        <v>4</v>
      </c>
      <c r="C158" s="2">
        <f>Découpe!C158-Découpe!D158-Découpe!E158</f>
        <v>1162</v>
      </c>
      <c r="D158" s="13">
        <v>15</v>
      </c>
      <c r="E158" s="13">
        <v>38</v>
      </c>
      <c r="F158" s="14">
        <v>58</v>
      </c>
      <c r="G158" s="14">
        <v>13</v>
      </c>
      <c r="H158" s="15">
        <v>11</v>
      </c>
      <c r="I158" s="14">
        <v>11</v>
      </c>
      <c r="J158" s="15">
        <v>7</v>
      </c>
      <c r="K158" s="14">
        <v>48</v>
      </c>
      <c r="L158" s="14">
        <v>22</v>
      </c>
      <c r="M158" s="15">
        <v>60</v>
      </c>
      <c r="N158" s="15">
        <v>20</v>
      </c>
      <c r="O158" s="16">
        <f t="shared" si="20"/>
        <v>150</v>
      </c>
      <c r="P158" s="1">
        <f t="shared" si="21"/>
        <v>960</v>
      </c>
      <c r="Q158">
        <f t="shared" si="22"/>
        <v>712</v>
      </c>
      <c r="R158">
        <f t="shared" si="23"/>
        <v>560</v>
      </c>
      <c r="S158">
        <f t="shared" si="24"/>
        <v>232.4</v>
      </c>
      <c r="T158">
        <f t="shared" si="25"/>
        <v>221.8</v>
      </c>
      <c r="U158" s="21">
        <f t="shared" si="29"/>
        <v>0.7865168539325843</v>
      </c>
      <c r="V158" s="21">
        <f t="shared" si="26"/>
        <v>0.95438898450946641</v>
      </c>
      <c r="W158" s="21">
        <f t="shared" si="27"/>
        <v>0.41500000000000004</v>
      </c>
      <c r="X158">
        <f t="shared" si="28"/>
        <v>0.31151685393258427</v>
      </c>
    </row>
    <row r="159" spans="1:24" x14ac:dyDescent="0.3">
      <c r="A159" s="2">
        <v>158</v>
      </c>
      <c r="B159" s="2" t="s">
        <v>3</v>
      </c>
      <c r="C159" s="2">
        <f>Découpe!C159-Découpe!D159-Découpe!E159</f>
        <v>1247</v>
      </c>
      <c r="D159" s="13">
        <v>17</v>
      </c>
      <c r="E159" s="13">
        <v>34</v>
      </c>
      <c r="F159" s="14">
        <v>30</v>
      </c>
      <c r="G159" s="14">
        <v>13</v>
      </c>
      <c r="H159" s="15">
        <v>9</v>
      </c>
      <c r="I159" s="14">
        <v>9</v>
      </c>
      <c r="J159" s="15">
        <v>9</v>
      </c>
      <c r="K159" s="14">
        <v>32</v>
      </c>
      <c r="L159" s="14">
        <v>22</v>
      </c>
      <c r="N159" s="15">
        <v>20</v>
      </c>
      <c r="O159" s="16">
        <f t="shared" si="20"/>
        <v>150</v>
      </c>
      <c r="P159" s="1">
        <f t="shared" si="21"/>
        <v>960</v>
      </c>
      <c r="Q159">
        <f t="shared" si="22"/>
        <v>772</v>
      </c>
      <c r="R159">
        <f t="shared" si="23"/>
        <v>666</v>
      </c>
      <c r="S159">
        <f t="shared" si="24"/>
        <v>249.4</v>
      </c>
      <c r="T159">
        <f t="shared" si="25"/>
        <v>239.20000000000002</v>
      </c>
      <c r="U159" s="21">
        <f t="shared" si="29"/>
        <v>0.86269430051813467</v>
      </c>
      <c r="V159" s="21">
        <f t="shared" si="26"/>
        <v>0.95910184442662394</v>
      </c>
      <c r="W159" s="21">
        <f t="shared" si="27"/>
        <v>0.37447447447447446</v>
      </c>
      <c r="X159">
        <f t="shared" si="28"/>
        <v>0.30984455958549223</v>
      </c>
    </row>
    <row r="160" spans="1:24" x14ac:dyDescent="0.3">
      <c r="A160" s="2">
        <v>159</v>
      </c>
      <c r="B160" s="2" t="s">
        <v>5</v>
      </c>
      <c r="C160" s="2">
        <f>Découpe!C160-Découpe!D160-Découpe!E160</f>
        <v>1301</v>
      </c>
      <c r="D160" s="13">
        <v>22</v>
      </c>
      <c r="E160" s="13">
        <v>30</v>
      </c>
      <c r="F160" s="14">
        <v>49</v>
      </c>
      <c r="G160" s="14">
        <v>8</v>
      </c>
      <c r="H160" s="15">
        <v>13</v>
      </c>
      <c r="I160" s="14">
        <v>13</v>
      </c>
      <c r="J160" s="15">
        <v>6</v>
      </c>
      <c r="K160" s="14">
        <v>35</v>
      </c>
      <c r="L160" s="14">
        <v>29</v>
      </c>
      <c r="N160" s="15">
        <v>20</v>
      </c>
      <c r="O160" s="16">
        <f t="shared" si="20"/>
        <v>150</v>
      </c>
      <c r="P160" s="1">
        <f t="shared" si="21"/>
        <v>960</v>
      </c>
      <c r="Q160">
        <f t="shared" si="22"/>
        <v>771</v>
      </c>
      <c r="R160">
        <f t="shared" si="23"/>
        <v>637</v>
      </c>
      <c r="S160">
        <f t="shared" si="24"/>
        <v>260.2</v>
      </c>
      <c r="T160">
        <f t="shared" si="25"/>
        <v>249.8</v>
      </c>
      <c r="U160" s="21">
        <f t="shared" si="29"/>
        <v>0.82619974059662771</v>
      </c>
      <c r="V160" s="21">
        <f t="shared" si="26"/>
        <v>0.96003074558032286</v>
      </c>
      <c r="W160" s="21">
        <f t="shared" si="27"/>
        <v>0.40847723704866562</v>
      </c>
      <c r="X160">
        <f t="shared" si="28"/>
        <v>0.32399481193255514</v>
      </c>
    </row>
    <row r="161" spans="1:24" x14ac:dyDescent="0.3">
      <c r="A161" s="2">
        <v>160</v>
      </c>
      <c r="B161" s="2" t="s">
        <v>5</v>
      </c>
      <c r="C161" s="2">
        <f>Découpe!C161-Découpe!D161-Découpe!E161</f>
        <v>1149</v>
      </c>
      <c r="D161" s="13">
        <v>18</v>
      </c>
      <c r="E161" s="13">
        <v>33</v>
      </c>
      <c r="F161" s="14">
        <v>40</v>
      </c>
      <c r="G161" s="14">
        <v>12</v>
      </c>
      <c r="H161" s="15">
        <v>11</v>
      </c>
      <c r="I161" s="14">
        <v>11</v>
      </c>
      <c r="J161" s="15">
        <v>7</v>
      </c>
      <c r="L161" s="14">
        <v>27</v>
      </c>
      <c r="N161" s="15">
        <v>15</v>
      </c>
      <c r="O161" s="16">
        <f t="shared" si="20"/>
        <v>150</v>
      </c>
      <c r="P161" s="1">
        <f t="shared" si="21"/>
        <v>960</v>
      </c>
      <c r="Q161">
        <f t="shared" si="22"/>
        <v>777</v>
      </c>
      <c r="R161">
        <f t="shared" si="23"/>
        <v>687</v>
      </c>
      <c r="S161">
        <f t="shared" si="24"/>
        <v>229.8</v>
      </c>
      <c r="T161">
        <f t="shared" si="25"/>
        <v>219.60000000000002</v>
      </c>
      <c r="U161" s="21">
        <f t="shared" si="29"/>
        <v>0.88416988416988418</v>
      </c>
      <c r="V161" s="21">
        <f t="shared" si="26"/>
        <v>0.95561357702349869</v>
      </c>
      <c r="W161" s="21">
        <f t="shared" si="27"/>
        <v>0.3344978165938865</v>
      </c>
      <c r="X161">
        <f t="shared" si="28"/>
        <v>0.28262548262548265</v>
      </c>
    </row>
    <row r="162" spans="1:24" x14ac:dyDescent="0.3">
      <c r="A162" s="2">
        <v>161</v>
      </c>
      <c r="B162" s="2" t="s">
        <v>4</v>
      </c>
      <c r="C162" s="2">
        <f>Découpe!C162-Découpe!D162-Découpe!E162</f>
        <v>1250</v>
      </c>
      <c r="D162" s="13">
        <v>23</v>
      </c>
      <c r="E162" s="13">
        <v>39</v>
      </c>
      <c r="F162" s="14">
        <v>47</v>
      </c>
      <c r="G162" s="14">
        <v>10</v>
      </c>
      <c r="H162" s="15">
        <v>10</v>
      </c>
      <c r="I162" s="14">
        <v>10</v>
      </c>
      <c r="J162" s="15">
        <v>7</v>
      </c>
      <c r="K162" s="14">
        <v>13</v>
      </c>
      <c r="L162" s="14">
        <v>27</v>
      </c>
      <c r="N162" s="15">
        <v>15</v>
      </c>
      <c r="O162" s="16">
        <f t="shared" si="20"/>
        <v>150</v>
      </c>
      <c r="P162" s="1">
        <f t="shared" si="21"/>
        <v>960</v>
      </c>
      <c r="Q162">
        <f t="shared" si="22"/>
        <v>778</v>
      </c>
      <c r="R162">
        <f t="shared" si="23"/>
        <v>671</v>
      </c>
      <c r="S162">
        <f t="shared" si="24"/>
        <v>250</v>
      </c>
      <c r="T162">
        <f t="shared" si="25"/>
        <v>237.60000000000002</v>
      </c>
      <c r="U162" s="21">
        <f t="shared" si="29"/>
        <v>0.86246786632390748</v>
      </c>
      <c r="V162" s="21">
        <f t="shared" si="26"/>
        <v>0.95040000000000002</v>
      </c>
      <c r="W162" s="21">
        <f t="shared" si="27"/>
        <v>0.37257824143070045</v>
      </c>
      <c r="X162">
        <f t="shared" si="28"/>
        <v>0.30539845758354761</v>
      </c>
    </row>
    <row r="163" spans="1:24" x14ac:dyDescent="0.3">
      <c r="A163" s="2">
        <v>162</v>
      </c>
      <c r="B163" s="2" t="s">
        <v>3</v>
      </c>
      <c r="C163" s="2">
        <f>Découpe!C163-Découpe!D163-Découpe!E163</f>
        <v>1287</v>
      </c>
      <c r="D163" s="13">
        <v>15</v>
      </c>
      <c r="E163" s="13">
        <v>40</v>
      </c>
      <c r="F163" s="14">
        <v>59</v>
      </c>
      <c r="G163" s="14">
        <v>13</v>
      </c>
      <c r="H163" s="15">
        <v>15</v>
      </c>
      <c r="I163" s="14">
        <v>15</v>
      </c>
      <c r="J163" s="15">
        <v>9</v>
      </c>
      <c r="K163" s="14">
        <v>26</v>
      </c>
      <c r="L163" s="14">
        <v>17</v>
      </c>
      <c r="N163" s="15">
        <v>16</v>
      </c>
      <c r="O163" s="16">
        <f t="shared" si="20"/>
        <v>150</v>
      </c>
      <c r="P163" s="1">
        <f t="shared" si="21"/>
        <v>960</v>
      </c>
      <c r="Q163">
        <f t="shared" si="22"/>
        <v>770</v>
      </c>
      <c r="R163">
        <f t="shared" si="23"/>
        <v>640</v>
      </c>
      <c r="S163">
        <f t="shared" si="24"/>
        <v>257.40000000000003</v>
      </c>
      <c r="T163">
        <f t="shared" si="25"/>
        <v>246.4</v>
      </c>
      <c r="U163" s="21">
        <f t="shared" si="29"/>
        <v>0.83116883116883122</v>
      </c>
      <c r="V163" s="21">
        <f t="shared" si="26"/>
        <v>0.95726495726495731</v>
      </c>
      <c r="W163" s="21">
        <f t="shared" si="27"/>
        <v>0.40218750000000003</v>
      </c>
      <c r="X163">
        <f t="shared" si="28"/>
        <v>0.32000000000000006</v>
      </c>
    </row>
    <row r="164" spans="1:24" x14ac:dyDescent="0.3">
      <c r="A164" s="2">
        <v>163</v>
      </c>
      <c r="B164" s="2" t="s">
        <v>2</v>
      </c>
      <c r="C164" s="2">
        <f>Découpe!C164-Découpe!D164-Découpe!E164</f>
        <v>1280</v>
      </c>
      <c r="D164" s="13">
        <v>24</v>
      </c>
      <c r="E164" s="13">
        <v>39</v>
      </c>
      <c r="F164" s="14">
        <v>47</v>
      </c>
      <c r="G164" s="14">
        <v>9</v>
      </c>
      <c r="H164" s="15">
        <v>15</v>
      </c>
      <c r="I164" s="14">
        <v>15</v>
      </c>
      <c r="J164" s="15">
        <v>9</v>
      </c>
      <c r="K164" s="14">
        <v>45</v>
      </c>
      <c r="L164" s="14">
        <v>21</v>
      </c>
      <c r="N164" s="15">
        <v>20</v>
      </c>
      <c r="O164" s="16">
        <f t="shared" si="20"/>
        <v>150</v>
      </c>
      <c r="P164" s="1">
        <f t="shared" si="21"/>
        <v>960</v>
      </c>
      <c r="Q164">
        <f t="shared" si="22"/>
        <v>766</v>
      </c>
      <c r="R164">
        <f t="shared" si="23"/>
        <v>629</v>
      </c>
      <c r="S164">
        <f t="shared" si="24"/>
        <v>256</v>
      </c>
      <c r="T164">
        <f t="shared" si="25"/>
        <v>243.4</v>
      </c>
      <c r="U164" s="21">
        <f t="shared" si="29"/>
        <v>0.8211488250652742</v>
      </c>
      <c r="V164" s="21">
        <f t="shared" si="26"/>
        <v>0.95078125000000002</v>
      </c>
      <c r="W164" s="21">
        <f t="shared" si="27"/>
        <v>0.40699523052464232</v>
      </c>
      <c r="X164">
        <f t="shared" si="28"/>
        <v>0.31775456919060058</v>
      </c>
    </row>
    <row r="165" spans="1:24" x14ac:dyDescent="0.3">
      <c r="A165" s="2">
        <v>164</v>
      </c>
      <c r="B165" s="2" t="s">
        <v>4</v>
      </c>
      <c r="C165" s="2">
        <f>Découpe!C165-Découpe!D165-Découpe!E165</f>
        <v>1234</v>
      </c>
      <c r="D165" s="13">
        <v>21</v>
      </c>
      <c r="E165" s="13">
        <v>22</v>
      </c>
      <c r="F165" s="14">
        <v>45</v>
      </c>
      <c r="G165" s="14">
        <v>13</v>
      </c>
      <c r="H165" s="15">
        <v>7</v>
      </c>
      <c r="I165" s="14">
        <v>7</v>
      </c>
      <c r="J165" s="15">
        <v>7</v>
      </c>
      <c r="K165" s="14">
        <v>14</v>
      </c>
      <c r="L165" s="14">
        <v>33</v>
      </c>
      <c r="N165" s="15">
        <v>18</v>
      </c>
      <c r="O165" s="16">
        <f t="shared" si="20"/>
        <v>150</v>
      </c>
      <c r="P165" s="1">
        <f t="shared" si="21"/>
        <v>960</v>
      </c>
      <c r="Q165">
        <f t="shared" si="22"/>
        <v>778</v>
      </c>
      <c r="R165">
        <f t="shared" si="23"/>
        <v>666</v>
      </c>
      <c r="S165">
        <f t="shared" si="24"/>
        <v>246.8</v>
      </c>
      <c r="T165">
        <f t="shared" si="25"/>
        <v>238.20000000000002</v>
      </c>
      <c r="U165" s="21">
        <f t="shared" si="29"/>
        <v>0.85604113110539848</v>
      </c>
      <c r="V165" s="21">
        <f t="shared" si="26"/>
        <v>0.96515397082658028</v>
      </c>
      <c r="W165" s="21">
        <f t="shared" si="27"/>
        <v>0.37057057057057058</v>
      </c>
      <c r="X165">
        <f t="shared" si="28"/>
        <v>0.30616966580976868</v>
      </c>
    </row>
    <row r="166" spans="1:24" x14ac:dyDescent="0.3">
      <c r="A166" s="2">
        <v>165</v>
      </c>
      <c r="B166" s="2" t="s">
        <v>3</v>
      </c>
      <c r="C166" s="2">
        <f>Découpe!C166-Découpe!D166-Découpe!E166</f>
        <v>1232</v>
      </c>
      <c r="D166" s="13">
        <v>22</v>
      </c>
      <c r="E166" s="13">
        <v>38</v>
      </c>
      <c r="F166" s="14">
        <v>48</v>
      </c>
      <c r="G166" s="14">
        <v>15</v>
      </c>
      <c r="H166" s="15">
        <v>7</v>
      </c>
      <c r="I166" s="14">
        <v>7</v>
      </c>
      <c r="J166" s="15">
        <v>5</v>
      </c>
      <c r="K166" s="14">
        <v>45</v>
      </c>
      <c r="L166" s="14">
        <v>24</v>
      </c>
      <c r="N166" s="15">
        <v>17</v>
      </c>
      <c r="O166" s="16">
        <f t="shared" si="20"/>
        <v>150</v>
      </c>
      <c r="P166" s="1">
        <f t="shared" si="21"/>
        <v>960</v>
      </c>
      <c r="Q166">
        <f t="shared" si="22"/>
        <v>781</v>
      </c>
      <c r="R166">
        <f t="shared" si="23"/>
        <v>642</v>
      </c>
      <c r="S166">
        <f t="shared" si="24"/>
        <v>246.4</v>
      </c>
      <c r="T166">
        <f t="shared" si="25"/>
        <v>234.4</v>
      </c>
      <c r="U166" s="21">
        <f t="shared" si="29"/>
        <v>0.82202304737516008</v>
      </c>
      <c r="V166" s="21">
        <f t="shared" si="26"/>
        <v>0.95129870129870131</v>
      </c>
      <c r="W166" s="21">
        <f t="shared" si="27"/>
        <v>0.38380062305295953</v>
      </c>
      <c r="X166">
        <f t="shared" si="28"/>
        <v>0.30012804097311141</v>
      </c>
    </row>
    <row r="167" spans="1:24" x14ac:dyDescent="0.3">
      <c r="A167" s="2">
        <v>166</v>
      </c>
      <c r="B167" s="2" t="s">
        <v>3</v>
      </c>
      <c r="C167" s="2">
        <f>Découpe!C167-Découpe!D167-Découpe!E167</f>
        <v>1051</v>
      </c>
      <c r="D167" s="13">
        <v>21</v>
      </c>
      <c r="E167" s="13">
        <v>24</v>
      </c>
      <c r="F167" s="14">
        <v>50</v>
      </c>
      <c r="G167" s="14">
        <v>9</v>
      </c>
      <c r="H167" s="15">
        <v>14</v>
      </c>
      <c r="I167" s="14">
        <v>14</v>
      </c>
      <c r="J167" s="15">
        <v>9</v>
      </c>
      <c r="L167" s="14">
        <v>14</v>
      </c>
      <c r="N167" s="15">
        <v>17</v>
      </c>
      <c r="O167" s="16">
        <f t="shared" si="20"/>
        <v>150</v>
      </c>
      <c r="P167" s="1">
        <f t="shared" si="21"/>
        <v>960</v>
      </c>
      <c r="Q167">
        <f t="shared" si="22"/>
        <v>770</v>
      </c>
      <c r="R167">
        <f t="shared" si="23"/>
        <v>683</v>
      </c>
      <c r="S167">
        <f t="shared" si="24"/>
        <v>210.20000000000002</v>
      </c>
      <c r="T167">
        <f t="shared" si="25"/>
        <v>201.20000000000002</v>
      </c>
      <c r="U167" s="21">
        <f t="shared" si="29"/>
        <v>0.88701298701298703</v>
      </c>
      <c r="V167" s="21">
        <f t="shared" si="26"/>
        <v>0.95718363463368217</v>
      </c>
      <c r="W167" s="21">
        <f t="shared" si="27"/>
        <v>0.30775988286969258</v>
      </c>
      <c r="X167">
        <f t="shared" si="28"/>
        <v>0.26129870129870131</v>
      </c>
    </row>
    <row r="168" spans="1:24" x14ac:dyDescent="0.3">
      <c r="A168" s="2">
        <v>167</v>
      </c>
      <c r="B168" s="2" t="s">
        <v>5</v>
      </c>
      <c r="C168" s="2">
        <f>Découpe!C168-Découpe!D168-Découpe!E168</f>
        <v>1343</v>
      </c>
      <c r="D168" s="13">
        <v>23</v>
      </c>
      <c r="E168" s="13">
        <v>33</v>
      </c>
      <c r="F168" s="14">
        <v>43</v>
      </c>
      <c r="G168" s="14">
        <v>4</v>
      </c>
      <c r="H168" s="15">
        <v>6</v>
      </c>
      <c r="I168" s="14">
        <v>5</v>
      </c>
      <c r="J168" s="15">
        <v>5</v>
      </c>
      <c r="K168" s="14">
        <v>42</v>
      </c>
      <c r="L168" s="14">
        <v>20</v>
      </c>
      <c r="N168" s="15">
        <v>18</v>
      </c>
      <c r="O168" s="16">
        <f t="shared" si="20"/>
        <v>150</v>
      </c>
      <c r="P168" s="1">
        <f t="shared" si="21"/>
        <v>960</v>
      </c>
      <c r="Q168">
        <f t="shared" si="22"/>
        <v>781</v>
      </c>
      <c r="R168">
        <f t="shared" si="23"/>
        <v>667</v>
      </c>
      <c r="S168">
        <f t="shared" si="24"/>
        <v>268.60000000000002</v>
      </c>
      <c r="T168">
        <f t="shared" si="25"/>
        <v>257.40000000000003</v>
      </c>
      <c r="U168" s="21">
        <f t="shared" si="29"/>
        <v>0.85403329065300893</v>
      </c>
      <c r="V168" s="21">
        <f t="shared" si="26"/>
        <v>0.95830230826507823</v>
      </c>
      <c r="W168" s="21">
        <f t="shared" si="27"/>
        <v>0.40269865067466271</v>
      </c>
      <c r="X168">
        <f t="shared" si="28"/>
        <v>0.3295774647887324</v>
      </c>
    </row>
    <row r="169" spans="1:24" x14ac:dyDescent="0.3">
      <c r="A169" s="2">
        <v>168</v>
      </c>
      <c r="B169" s="2" t="s">
        <v>4</v>
      </c>
      <c r="C169" s="2">
        <f>Découpe!C169-Découpe!D169-Découpe!E169</f>
        <v>1296</v>
      </c>
      <c r="D169" s="13">
        <v>22</v>
      </c>
      <c r="E169" s="13">
        <v>26</v>
      </c>
      <c r="F169" s="14">
        <v>32</v>
      </c>
      <c r="G169" s="14">
        <v>10</v>
      </c>
      <c r="H169" s="15">
        <v>5</v>
      </c>
      <c r="I169" s="14">
        <v>5</v>
      </c>
      <c r="J169" s="15">
        <v>8</v>
      </c>
      <c r="K169" s="14">
        <v>11</v>
      </c>
      <c r="L169" s="14">
        <v>31</v>
      </c>
      <c r="N169" s="15">
        <v>15</v>
      </c>
      <c r="O169" s="16">
        <f t="shared" si="20"/>
        <v>150</v>
      </c>
      <c r="P169" s="1">
        <f t="shared" si="21"/>
        <v>960</v>
      </c>
      <c r="Q169">
        <f t="shared" si="22"/>
        <v>782</v>
      </c>
      <c r="R169">
        <f t="shared" si="23"/>
        <v>693</v>
      </c>
      <c r="S169">
        <f t="shared" si="24"/>
        <v>259.2</v>
      </c>
      <c r="T169">
        <f t="shared" si="25"/>
        <v>249.60000000000002</v>
      </c>
      <c r="U169" s="21">
        <f t="shared" si="29"/>
        <v>0.88618925831202044</v>
      </c>
      <c r="V169" s="21">
        <f t="shared" si="26"/>
        <v>0.96296296296296291</v>
      </c>
      <c r="W169" s="21">
        <f t="shared" si="27"/>
        <v>0.37402597402597398</v>
      </c>
      <c r="X169">
        <f t="shared" si="28"/>
        <v>0.31918158567774929</v>
      </c>
    </row>
    <row r="170" spans="1:24" x14ac:dyDescent="0.3">
      <c r="A170" s="2">
        <v>169</v>
      </c>
      <c r="B170" s="2" t="s">
        <v>3</v>
      </c>
      <c r="C170" s="2">
        <f>Découpe!C170-Découpe!D170-Découpe!E170</f>
        <v>1095</v>
      </c>
      <c r="D170" s="13">
        <v>28</v>
      </c>
      <c r="E170" s="13">
        <v>31</v>
      </c>
      <c r="F170" s="14">
        <v>47</v>
      </c>
      <c r="G170" s="14">
        <v>5</v>
      </c>
      <c r="H170" s="15">
        <v>6</v>
      </c>
      <c r="I170" s="14">
        <v>6</v>
      </c>
      <c r="J170" s="15">
        <v>5</v>
      </c>
      <c r="K170" s="14">
        <v>30</v>
      </c>
      <c r="L170" s="14">
        <v>30</v>
      </c>
      <c r="N170" s="15">
        <v>20</v>
      </c>
      <c r="O170" s="16">
        <f t="shared" si="20"/>
        <v>150</v>
      </c>
      <c r="P170" s="1">
        <f t="shared" si="21"/>
        <v>960</v>
      </c>
      <c r="Q170">
        <f t="shared" si="22"/>
        <v>779</v>
      </c>
      <c r="R170">
        <f t="shared" si="23"/>
        <v>661</v>
      </c>
      <c r="S170">
        <f t="shared" si="24"/>
        <v>219</v>
      </c>
      <c r="T170">
        <f t="shared" si="25"/>
        <v>207.20000000000002</v>
      </c>
      <c r="U170" s="21">
        <f t="shared" si="29"/>
        <v>0.8485237483953787</v>
      </c>
      <c r="V170" s="21">
        <f t="shared" si="26"/>
        <v>0.94611872146118725</v>
      </c>
      <c r="W170" s="21">
        <f t="shared" si="27"/>
        <v>0.33131618759455372</v>
      </c>
      <c r="X170">
        <f t="shared" si="28"/>
        <v>0.26598202824133504</v>
      </c>
    </row>
    <row r="171" spans="1:24" x14ac:dyDescent="0.3">
      <c r="A171" s="2">
        <v>170</v>
      </c>
      <c r="B171" s="2" t="s">
        <v>2</v>
      </c>
      <c r="C171" s="2">
        <f>Découpe!C171-Découpe!D171-Découpe!E171</f>
        <v>1179</v>
      </c>
      <c r="D171" s="13">
        <v>22</v>
      </c>
      <c r="E171" s="13">
        <v>32</v>
      </c>
      <c r="F171" s="14">
        <v>40</v>
      </c>
      <c r="G171" s="14">
        <v>8</v>
      </c>
      <c r="H171" s="15">
        <v>8</v>
      </c>
      <c r="I171" s="14">
        <v>8</v>
      </c>
      <c r="J171" s="15">
        <v>6</v>
      </c>
      <c r="K171" s="14">
        <v>13</v>
      </c>
      <c r="L171" s="14">
        <v>20</v>
      </c>
      <c r="M171" s="15">
        <v>100</v>
      </c>
      <c r="N171" s="15">
        <v>15</v>
      </c>
      <c r="O171" s="16">
        <f t="shared" si="20"/>
        <v>150</v>
      </c>
      <c r="P171" s="1">
        <f t="shared" si="21"/>
        <v>960</v>
      </c>
      <c r="Q171">
        <f t="shared" si="22"/>
        <v>681</v>
      </c>
      <c r="R171">
        <f t="shared" si="23"/>
        <v>592</v>
      </c>
      <c r="S171">
        <f t="shared" si="24"/>
        <v>235.8</v>
      </c>
      <c r="T171">
        <f t="shared" si="25"/>
        <v>225</v>
      </c>
      <c r="U171" s="21">
        <f t="shared" si="29"/>
        <v>0.86930983847283405</v>
      </c>
      <c r="V171" s="21">
        <f t="shared" si="26"/>
        <v>0.95419847328244278</v>
      </c>
      <c r="W171" s="21">
        <f t="shared" si="27"/>
        <v>0.39831081081081082</v>
      </c>
      <c r="X171">
        <f t="shared" si="28"/>
        <v>0.33039647577092512</v>
      </c>
    </row>
    <row r="172" spans="1:24" x14ac:dyDescent="0.3">
      <c r="A172" s="2">
        <v>171</v>
      </c>
      <c r="B172" s="2" t="s">
        <v>4</v>
      </c>
      <c r="C172" s="2">
        <f>Découpe!C172-Découpe!D172-Découpe!E172</f>
        <v>1151</v>
      </c>
      <c r="D172" s="13">
        <v>23</v>
      </c>
      <c r="E172" s="13">
        <v>35</v>
      </c>
      <c r="F172" s="14">
        <v>45</v>
      </c>
      <c r="G172" s="14">
        <v>9</v>
      </c>
      <c r="H172" s="15">
        <v>13</v>
      </c>
      <c r="I172" s="14">
        <v>13</v>
      </c>
      <c r="J172" s="15">
        <v>7</v>
      </c>
      <c r="K172" s="14">
        <v>25</v>
      </c>
      <c r="L172" s="14">
        <v>32</v>
      </c>
      <c r="N172" s="15">
        <v>20</v>
      </c>
      <c r="O172" s="16">
        <f t="shared" si="20"/>
        <v>150</v>
      </c>
      <c r="P172" s="1">
        <f t="shared" si="21"/>
        <v>960</v>
      </c>
      <c r="Q172">
        <f t="shared" si="22"/>
        <v>770</v>
      </c>
      <c r="R172">
        <f t="shared" si="23"/>
        <v>646</v>
      </c>
      <c r="S172">
        <f t="shared" si="24"/>
        <v>230.20000000000002</v>
      </c>
      <c r="T172">
        <f t="shared" si="25"/>
        <v>218.60000000000002</v>
      </c>
      <c r="U172" s="21">
        <f t="shared" si="29"/>
        <v>0.83896103896103891</v>
      </c>
      <c r="V172" s="21">
        <f t="shared" si="26"/>
        <v>0.94960903562119892</v>
      </c>
      <c r="W172" s="21">
        <f t="shared" si="27"/>
        <v>0.35634674922600623</v>
      </c>
      <c r="X172">
        <f t="shared" si="28"/>
        <v>0.28389610389610387</v>
      </c>
    </row>
    <row r="173" spans="1:24" x14ac:dyDescent="0.3">
      <c r="A173" s="2">
        <v>172</v>
      </c>
      <c r="B173" s="2" t="s">
        <v>3</v>
      </c>
      <c r="C173" s="2">
        <f>Découpe!C173-Découpe!D173-Découpe!E173</f>
        <v>1149</v>
      </c>
      <c r="D173" s="13">
        <v>21</v>
      </c>
      <c r="E173" s="13">
        <v>33</v>
      </c>
      <c r="F173" s="14">
        <v>48</v>
      </c>
      <c r="G173" s="14">
        <v>11</v>
      </c>
      <c r="H173" s="15">
        <v>8</v>
      </c>
      <c r="I173" s="14">
        <v>8</v>
      </c>
      <c r="J173" s="15">
        <v>5</v>
      </c>
      <c r="K173" s="14">
        <v>15</v>
      </c>
      <c r="L173" s="14">
        <v>30</v>
      </c>
      <c r="N173" s="15">
        <v>16</v>
      </c>
      <c r="O173" s="16">
        <f t="shared" si="20"/>
        <v>150</v>
      </c>
      <c r="P173" s="1">
        <f t="shared" si="21"/>
        <v>960</v>
      </c>
      <c r="Q173">
        <f t="shared" si="22"/>
        <v>781</v>
      </c>
      <c r="R173">
        <f t="shared" si="23"/>
        <v>669</v>
      </c>
      <c r="S173">
        <f t="shared" si="24"/>
        <v>229.8</v>
      </c>
      <c r="T173">
        <f t="shared" si="25"/>
        <v>219</v>
      </c>
      <c r="U173" s="21">
        <f t="shared" si="29"/>
        <v>0.8565941101152369</v>
      </c>
      <c r="V173" s="21">
        <f t="shared" si="26"/>
        <v>0.95300261096605743</v>
      </c>
      <c r="W173" s="21">
        <f t="shared" si="27"/>
        <v>0.34349775784753367</v>
      </c>
      <c r="X173">
        <f t="shared" si="28"/>
        <v>0.28040973111395651</v>
      </c>
    </row>
    <row r="174" spans="1:24" x14ac:dyDescent="0.3">
      <c r="A174" s="2">
        <v>173</v>
      </c>
      <c r="B174" s="2" t="s">
        <v>5</v>
      </c>
      <c r="C174" s="2">
        <f>Découpe!C174-Découpe!D174-Découpe!E174</f>
        <v>1185</v>
      </c>
      <c r="D174" s="13">
        <v>21</v>
      </c>
      <c r="E174" s="13">
        <v>33</v>
      </c>
      <c r="F174" s="14">
        <v>44</v>
      </c>
      <c r="G174" s="14">
        <v>14</v>
      </c>
      <c r="H174" s="15">
        <v>6</v>
      </c>
      <c r="I174" s="14">
        <v>6</v>
      </c>
      <c r="J174" s="15">
        <v>8</v>
      </c>
      <c r="K174" s="14">
        <v>34</v>
      </c>
      <c r="L174" s="14">
        <v>29</v>
      </c>
      <c r="N174" s="15">
        <v>19</v>
      </c>
      <c r="O174" s="16">
        <f t="shared" si="20"/>
        <v>150</v>
      </c>
      <c r="P174" s="1">
        <f t="shared" si="21"/>
        <v>960</v>
      </c>
      <c r="Q174">
        <f t="shared" si="22"/>
        <v>777</v>
      </c>
      <c r="R174">
        <f t="shared" si="23"/>
        <v>650</v>
      </c>
      <c r="S174">
        <f t="shared" si="24"/>
        <v>237</v>
      </c>
      <c r="T174">
        <f t="shared" si="25"/>
        <v>226.20000000000002</v>
      </c>
      <c r="U174" s="21">
        <f t="shared" si="29"/>
        <v>0.83655083655083651</v>
      </c>
      <c r="V174" s="21">
        <f t="shared" si="26"/>
        <v>0.95443037974683542</v>
      </c>
      <c r="W174" s="21">
        <f t="shared" si="27"/>
        <v>0.36461538461538462</v>
      </c>
      <c r="X174">
        <f t="shared" si="28"/>
        <v>0.2911196911196911</v>
      </c>
    </row>
    <row r="175" spans="1:24" x14ac:dyDescent="0.3">
      <c r="A175" s="2">
        <v>174</v>
      </c>
      <c r="B175" s="2" t="s">
        <v>4</v>
      </c>
      <c r="C175" s="2">
        <f>Découpe!C175-Découpe!D175-Découpe!E175</f>
        <v>1209</v>
      </c>
      <c r="D175" s="13">
        <v>18</v>
      </c>
      <c r="E175" s="13">
        <v>22</v>
      </c>
      <c r="F175" s="14">
        <v>45</v>
      </c>
      <c r="G175" s="14">
        <v>11</v>
      </c>
      <c r="H175" s="15">
        <v>8</v>
      </c>
      <c r="I175" s="14">
        <v>7</v>
      </c>
      <c r="J175" s="15">
        <v>5</v>
      </c>
      <c r="K175" s="14">
        <v>21</v>
      </c>
      <c r="L175" s="14">
        <v>16</v>
      </c>
      <c r="N175" s="15">
        <v>19</v>
      </c>
      <c r="O175" s="16">
        <f t="shared" si="20"/>
        <v>150</v>
      </c>
      <c r="P175" s="1">
        <f t="shared" si="21"/>
        <v>960</v>
      </c>
      <c r="Q175">
        <f t="shared" si="22"/>
        <v>778</v>
      </c>
      <c r="R175">
        <f t="shared" si="23"/>
        <v>678</v>
      </c>
      <c r="S175">
        <f t="shared" si="24"/>
        <v>241.8</v>
      </c>
      <c r="T175">
        <f t="shared" si="25"/>
        <v>233.8</v>
      </c>
      <c r="U175" s="21">
        <f t="shared" si="29"/>
        <v>0.87146529562982</v>
      </c>
      <c r="V175" s="21">
        <f t="shared" si="26"/>
        <v>0.96691480562448306</v>
      </c>
      <c r="W175" s="21">
        <f t="shared" si="27"/>
        <v>0.35663716814159296</v>
      </c>
      <c r="X175">
        <f t="shared" si="28"/>
        <v>0.30051413881748074</v>
      </c>
    </row>
    <row r="176" spans="1:24" x14ac:dyDescent="0.3">
      <c r="A176" s="2">
        <v>175</v>
      </c>
      <c r="B176" s="2" t="s">
        <v>3</v>
      </c>
      <c r="C176" s="2">
        <f>Découpe!C176-Découpe!D176-Découpe!E176</f>
        <v>1251</v>
      </c>
      <c r="D176" s="13">
        <v>20</v>
      </c>
      <c r="E176" s="13">
        <v>24</v>
      </c>
      <c r="F176" s="14">
        <v>60</v>
      </c>
      <c r="G176" s="14">
        <v>10</v>
      </c>
      <c r="H176" s="15">
        <v>7</v>
      </c>
      <c r="I176" s="14">
        <v>7</v>
      </c>
      <c r="J176" s="15">
        <v>7</v>
      </c>
      <c r="K176" s="14">
        <v>10</v>
      </c>
      <c r="L176" s="14">
        <v>31</v>
      </c>
      <c r="N176" s="15">
        <v>16</v>
      </c>
      <c r="O176" s="16">
        <f t="shared" si="20"/>
        <v>150</v>
      </c>
      <c r="P176" s="1">
        <f t="shared" si="21"/>
        <v>960</v>
      </c>
      <c r="Q176">
        <f t="shared" si="22"/>
        <v>780</v>
      </c>
      <c r="R176">
        <f t="shared" si="23"/>
        <v>662</v>
      </c>
      <c r="S176">
        <f t="shared" si="24"/>
        <v>250.20000000000002</v>
      </c>
      <c r="T176">
        <f t="shared" si="25"/>
        <v>241.4</v>
      </c>
      <c r="U176" s="21">
        <f t="shared" si="29"/>
        <v>0.8487179487179487</v>
      </c>
      <c r="V176" s="21">
        <f t="shared" si="26"/>
        <v>0.96482813749000795</v>
      </c>
      <c r="W176" s="21">
        <f t="shared" si="27"/>
        <v>0.37794561933534748</v>
      </c>
      <c r="X176">
        <f t="shared" si="28"/>
        <v>0.30948717948717946</v>
      </c>
    </row>
    <row r="177" spans="1:24" x14ac:dyDescent="0.3">
      <c r="A177" s="2">
        <v>176</v>
      </c>
      <c r="B177" s="2" t="s">
        <v>2</v>
      </c>
      <c r="C177" s="2">
        <f>Découpe!C177-Découpe!D177-Découpe!E177</f>
        <v>1150</v>
      </c>
      <c r="D177" s="13">
        <v>24</v>
      </c>
      <c r="E177" s="13">
        <v>32</v>
      </c>
      <c r="F177" s="14">
        <v>54</v>
      </c>
      <c r="G177" s="14">
        <v>16</v>
      </c>
      <c r="H177" s="15">
        <v>9</v>
      </c>
      <c r="I177" s="14">
        <v>9</v>
      </c>
      <c r="J177" s="15">
        <v>5</v>
      </c>
      <c r="K177" s="14">
        <v>38</v>
      </c>
      <c r="L177" s="14">
        <v>16</v>
      </c>
      <c r="N177" s="15">
        <v>19</v>
      </c>
      <c r="O177" s="16">
        <f t="shared" si="20"/>
        <v>150</v>
      </c>
      <c r="P177" s="1">
        <f t="shared" si="21"/>
        <v>960</v>
      </c>
      <c r="Q177">
        <f t="shared" si="22"/>
        <v>777</v>
      </c>
      <c r="R177">
        <f t="shared" si="23"/>
        <v>644</v>
      </c>
      <c r="S177">
        <f t="shared" si="24"/>
        <v>230</v>
      </c>
      <c r="T177">
        <f t="shared" si="25"/>
        <v>218.8</v>
      </c>
      <c r="U177" s="21">
        <f t="shared" si="29"/>
        <v>0.8288288288288288</v>
      </c>
      <c r="V177" s="21">
        <f t="shared" si="26"/>
        <v>0.95130434782608697</v>
      </c>
      <c r="W177" s="21">
        <f t="shared" si="27"/>
        <v>0.35714285714285715</v>
      </c>
      <c r="X177">
        <f t="shared" si="28"/>
        <v>0.28159588159588156</v>
      </c>
    </row>
    <row r="178" spans="1:24" x14ac:dyDescent="0.3">
      <c r="A178" s="2">
        <v>177</v>
      </c>
      <c r="B178" s="2" t="s">
        <v>3</v>
      </c>
      <c r="C178" s="2">
        <f>Découpe!C178-Découpe!D178-Découpe!E178</f>
        <v>1152</v>
      </c>
      <c r="D178" s="13">
        <v>20</v>
      </c>
      <c r="E178" s="13">
        <v>30</v>
      </c>
      <c r="F178" s="14">
        <v>48</v>
      </c>
      <c r="G178" s="14">
        <v>15</v>
      </c>
      <c r="H178" s="15">
        <v>9</v>
      </c>
      <c r="I178" s="14">
        <v>9</v>
      </c>
      <c r="J178" s="15">
        <v>5</v>
      </c>
      <c r="K178" s="14">
        <v>39</v>
      </c>
      <c r="L178" s="14">
        <v>25</v>
      </c>
      <c r="N178" s="15">
        <v>20</v>
      </c>
      <c r="O178" s="16">
        <f t="shared" si="20"/>
        <v>150</v>
      </c>
      <c r="P178" s="1">
        <f t="shared" si="21"/>
        <v>960</v>
      </c>
      <c r="Q178">
        <f t="shared" si="22"/>
        <v>776</v>
      </c>
      <c r="R178">
        <f t="shared" si="23"/>
        <v>640</v>
      </c>
      <c r="S178">
        <f t="shared" si="24"/>
        <v>230.4</v>
      </c>
      <c r="T178">
        <f t="shared" si="25"/>
        <v>220.4</v>
      </c>
      <c r="U178" s="21">
        <f t="shared" si="29"/>
        <v>0.82474226804123707</v>
      </c>
      <c r="V178" s="21">
        <f t="shared" si="26"/>
        <v>0.95659722222222221</v>
      </c>
      <c r="W178" s="21">
        <f t="shared" si="27"/>
        <v>0.36</v>
      </c>
      <c r="X178">
        <f t="shared" si="28"/>
        <v>0.28402061855670102</v>
      </c>
    </row>
    <row r="179" spans="1:24" x14ac:dyDescent="0.3">
      <c r="A179" s="2">
        <v>178</v>
      </c>
      <c r="B179" s="2" t="s">
        <v>3</v>
      </c>
      <c r="C179" s="2">
        <f>Découpe!C179-Découpe!D179-Découpe!E179</f>
        <v>1242</v>
      </c>
      <c r="D179" s="13">
        <v>18</v>
      </c>
      <c r="E179" s="13">
        <v>35</v>
      </c>
      <c r="F179" s="14">
        <v>52</v>
      </c>
      <c r="G179" s="14">
        <v>10</v>
      </c>
      <c r="H179" s="15">
        <v>15</v>
      </c>
      <c r="I179" s="14">
        <v>15</v>
      </c>
      <c r="J179" s="15">
        <v>7</v>
      </c>
      <c r="L179" s="14">
        <v>15</v>
      </c>
      <c r="N179" s="15">
        <v>15</v>
      </c>
      <c r="O179" s="16">
        <f t="shared" si="20"/>
        <v>150</v>
      </c>
      <c r="P179" s="1">
        <f t="shared" si="21"/>
        <v>960</v>
      </c>
      <c r="Q179">
        <f t="shared" si="22"/>
        <v>773</v>
      </c>
      <c r="R179">
        <f t="shared" si="23"/>
        <v>681</v>
      </c>
      <c r="S179">
        <f t="shared" si="24"/>
        <v>248.4</v>
      </c>
      <c r="T179">
        <f t="shared" si="25"/>
        <v>237.8</v>
      </c>
      <c r="U179" s="21">
        <f t="shared" si="29"/>
        <v>0.88098318240620954</v>
      </c>
      <c r="V179" s="21">
        <f t="shared" si="26"/>
        <v>0.95732689210950084</v>
      </c>
      <c r="W179" s="21">
        <f t="shared" si="27"/>
        <v>0.36475770925110135</v>
      </c>
      <c r="X179">
        <f t="shared" si="28"/>
        <v>0.30763260025873224</v>
      </c>
    </row>
    <row r="180" spans="1:24" x14ac:dyDescent="0.3">
      <c r="A180" s="2">
        <v>179</v>
      </c>
      <c r="B180" s="2" t="s">
        <v>5</v>
      </c>
      <c r="C180" s="2">
        <f>Découpe!C180-Découpe!D180-Découpe!E180</f>
        <v>1190</v>
      </c>
      <c r="D180" s="13">
        <v>24</v>
      </c>
      <c r="E180" s="13">
        <v>24</v>
      </c>
      <c r="F180" s="14">
        <v>49</v>
      </c>
      <c r="G180" s="14">
        <v>17</v>
      </c>
      <c r="H180" s="15">
        <v>9</v>
      </c>
      <c r="I180" s="14">
        <v>8</v>
      </c>
      <c r="J180" s="15">
        <v>6</v>
      </c>
      <c r="K180" s="14">
        <v>42</v>
      </c>
      <c r="L180" s="14">
        <v>21</v>
      </c>
      <c r="N180" s="15">
        <v>15</v>
      </c>
      <c r="O180" s="16">
        <f t="shared" si="20"/>
        <v>150</v>
      </c>
      <c r="P180" s="1">
        <f t="shared" si="21"/>
        <v>960</v>
      </c>
      <c r="Q180">
        <f t="shared" si="22"/>
        <v>780</v>
      </c>
      <c r="R180">
        <f t="shared" si="23"/>
        <v>643</v>
      </c>
      <c r="S180">
        <f t="shared" si="24"/>
        <v>238</v>
      </c>
      <c r="T180">
        <f t="shared" si="25"/>
        <v>228.4</v>
      </c>
      <c r="U180" s="21">
        <f t="shared" si="29"/>
        <v>0.82435897435897432</v>
      </c>
      <c r="V180" s="21">
        <f t="shared" si="26"/>
        <v>0.95966386554621852</v>
      </c>
      <c r="W180" s="21">
        <f t="shared" si="27"/>
        <v>0.37013996889580092</v>
      </c>
      <c r="X180">
        <f t="shared" si="28"/>
        <v>0.2928205128205128</v>
      </c>
    </row>
    <row r="181" spans="1:24" x14ac:dyDescent="0.3">
      <c r="A181" s="2">
        <v>180</v>
      </c>
      <c r="B181" s="2" t="s">
        <v>2</v>
      </c>
      <c r="C181" s="2">
        <f>Découpe!C181-Découpe!D181-Découpe!E181</f>
        <v>1154</v>
      </c>
      <c r="D181" s="13">
        <v>24</v>
      </c>
      <c r="E181" s="13">
        <v>37</v>
      </c>
      <c r="F181" s="14">
        <v>54</v>
      </c>
      <c r="G181" s="14">
        <v>12</v>
      </c>
      <c r="H181" s="15">
        <v>8</v>
      </c>
      <c r="I181" s="14">
        <v>8</v>
      </c>
      <c r="J181" s="15">
        <v>5</v>
      </c>
      <c r="K181" s="14">
        <v>12</v>
      </c>
      <c r="L181" s="14">
        <v>25</v>
      </c>
      <c r="M181" s="15">
        <v>100</v>
      </c>
      <c r="N181" s="15">
        <v>20</v>
      </c>
      <c r="O181" s="16">
        <f t="shared" si="20"/>
        <v>150</v>
      </c>
      <c r="P181" s="1">
        <f t="shared" si="21"/>
        <v>960</v>
      </c>
      <c r="Q181">
        <f t="shared" si="22"/>
        <v>677</v>
      </c>
      <c r="R181">
        <f t="shared" si="23"/>
        <v>566</v>
      </c>
      <c r="S181">
        <f t="shared" si="24"/>
        <v>230.8</v>
      </c>
      <c r="T181">
        <f t="shared" si="25"/>
        <v>218.60000000000002</v>
      </c>
      <c r="U181" s="21">
        <f t="shared" si="29"/>
        <v>0.83604135893648446</v>
      </c>
      <c r="V181" s="21">
        <f t="shared" si="26"/>
        <v>0.94714038128249567</v>
      </c>
      <c r="W181" s="21">
        <f t="shared" si="27"/>
        <v>0.40777385159010604</v>
      </c>
      <c r="X181">
        <f t="shared" si="28"/>
        <v>0.32289512555391436</v>
      </c>
    </row>
    <row r="182" spans="1:24" x14ac:dyDescent="0.3">
      <c r="A182" s="2">
        <v>181</v>
      </c>
      <c r="B182" s="2" t="s">
        <v>3</v>
      </c>
      <c r="C182" s="2">
        <f>Découpe!C182-Découpe!D182-Découpe!E182</f>
        <v>1230</v>
      </c>
      <c r="D182" s="13">
        <v>25</v>
      </c>
      <c r="E182" s="13">
        <v>40</v>
      </c>
      <c r="F182" s="14">
        <v>64</v>
      </c>
      <c r="G182" s="14">
        <v>17</v>
      </c>
      <c r="H182" s="15">
        <v>14</v>
      </c>
      <c r="I182" s="14">
        <v>13</v>
      </c>
      <c r="J182" s="15">
        <v>9</v>
      </c>
      <c r="K182" s="14">
        <v>41</v>
      </c>
      <c r="L182" s="14">
        <v>26</v>
      </c>
      <c r="N182" s="15">
        <v>16</v>
      </c>
      <c r="O182" s="16">
        <f t="shared" si="20"/>
        <v>150</v>
      </c>
      <c r="P182" s="1">
        <f t="shared" si="21"/>
        <v>960</v>
      </c>
      <c r="Q182">
        <f t="shared" si="22"/>
        <v>771</v>
      </c>
      <c r="R182">
        <f t="shared" si="23"/>
        <v>610</v>
      </c>
      <c r="S182">
        <f t="shared" si="24"/>
        <v>246</v>
      </c>
      <c r="T182">
        <f t="shared" si="25"/>
        <v>233</v>
      </c>
      <c r="U182" s="21">
        <f t="shared" si="29"/>
        <v>0.79118028534370943</v>
      </c>
      <c r="V182" s="21">
        <f t="shared" si="26"/>
        <v>0.94715447154471544</v>
      </c>
      <c r="W182" s="21">
        <f t="shared" si="27"/>
        <v>0.40327868852459015</v>
      </c>
      <c r="X182">
        <f t="shared" si="28"/>
        <v>0.30220492866407261</v>
      </c>
    </row>
    <row r="183" spans="1:24" x14ac:dyDescent="0.3">
      <c r="A183" s="2">
        <v>182</v>
      </c>
      <c r="B183" s="2" t="s">
        <v>4</v>
      </c>
      <c r="C183" s="2">
        <f>Découpe!C183-Découpe!D183-Découpe!E183</f>
        <v>1024</v>
      </c>
      <c r="D183" s="13">
        <v>21</v>
      </c>
      <c r="E183" s="13">
        <v>26</v>
      </c>
      <c r="F183" s="14">
        <v>41</v>
      </c>
      <c r="G183" s="14">
        <v>16</v>
      </c>
      <c r="H183" s="15">
        <v>5</v>
      </c>
      <c r="I183" s="14">
        <v>5</v>
      </c>
      <c r="J183" s="15">
        <v>5</v>
      </c>
      <c r="K183" s="14">
        <v>42</v>
      </c>
      <c r="L183" s="14">
        <v>20</v>
      </c>
      <c r="N183" s="15">
        <v>15</v>
      </c>
      <c r="O183" s="16">
        <f t="shared" si="20"/>
        <v>150</v>
      </c>
      <c r="P183" s="1">
        <f t="shared" si="21"/>
        <v>960</v>
      </c>
      <c r="Q183">
        <f t="shared" si="22"/>
        <v>785</v>
      </c>
      <c r="R183">
        <f t="shared" si="23"/>
        <v>661</v>
      </c>
      <c r="S183">
        <f t="shared" si="24"/>
        <v>204.8</v>
      </c>
      <c r="T183">
        <f t="shared" si="25"/>
        <v>195.4</v>
      </c>
      <c r="U183" s="21">
        <f t="shared" si="29"/>
        <v>0.84203821656050959</v>
      </c>
      <c r="V183" s="21">
        <f t="shared" si="26"/>
        <v>0.9541015625</v>
      </c>
      <c r="W183" s="21">
        <f t="shared" si="27"/>
        <v>0.30983358547655071</v>
      </c>
      <c r="X183">
        <f t="shared" si="28"/>
        <v>0.24891719745222934</v>
      </c>
    </row>
    <row r="184" spans="1:24" x14ac:dyDescent="0.3">
      <c r="A184" s="2">
        <v>183</v>
      </c>
      <c r="B184" s="2" t="s">
        <v>3</v>
      </c>
      <c r="C184" s="2">
        <f>Découpe!C184-Découpe!D184-Découpe!E184</f>
        <v>1074</v>
      </c>
      <c r="D184" s="13">
        <v>22</v>
      </c>
      <c r="E184" s="13">
        <v>28</v>
      </c>
      <c r="F184" s="14">
        <v>58</v>
      </c>
      <c r="G184" s="14">
        <v>8</v>
      </c>
      <c r="H184" s="15">
        <v>10</v>
      </c>
      <c r="I184" s="14">
        <v>10</v>
      </c>
      <c r="J184" s="15">
        <v>7</v>
      </c>
      <c r="K184" s="14">
        <v>14</v>
      </c>
      <c r="L184" s="14">
        <v>21</v>
      </c>
      <c r="N184" s="15">
        <v>20</v>
      </c>
      <c r="O184" s="16">
        <f t="shared" si="20"/>
        <v>150</v>
      </c>
      <c r="P184" s="1">
        <f t="shared" si="21"/>
        <v>960</v>
      </c>
      <c r="Q184">
        <f t="shared" si="22"/>
        <v>773</v>
      </c>
      <c r="R184">
        <f t="shared" si="23"/>
        <v>662</v>
      </c>
      <c r="S184">
        <f t="shared" si="24"/>
        <v>214.8</v>
      </c>
      <c r="T184">
        <f t="shared" si="25"/>
        <v>204.8</v>
      </c>
      <c r="U184" s="21">
        <f t="shared" si="29"/>
        <v>0.85640362225097022</v>
      </c>
      <c r="V184" s="21">
        <f t="shared" si="26"/>
        <v>0.95344506517690875</v>
      </c>
      <c r="W184" s="21">
        <f t="shared" si="27"/>
        <v>0.32447129909365563</v>
      </c>
      <c r="X184">
        <f t="shared" si="28"/>
        <v>0.26494178525226392</v>
      </c>
    </row>
    <row r="185" spans="1:24" x14ac:dyDescent="0.3">
      <c r="A185" s="2">
        <v>184</v>
      </c>
      <c r="B185" s="2" t="s">
        <v>5</v>
      </c>
      <c r="C185" s="2">
        <f>Découpe!C185-Découpe!D185-Découpe!E185</f>
        <v>1099</v>
      </c>
      <c r="D185" s="13">
        <v>19</v>
      </c>
      <c r="E185" s="13">
        <v>40</v>
      </c>
      <c r="F185" s="14">
        <v>52</v>
      </c>
      <c r="G185" s="14">
        <v>8</v>
      </c>
      <c r="H185" s="15">
        <v>13</v>
      </c>
      <c r="I185" s="14">
        <v>13</v>
      </c>
      <c r="J185" s="15">
        <v>8</v>
      </c>
      <c r="K185" s="14">
        <v>33</v>
      </c>
      <c r="L185" s="14">
        <v>32</v>
      </c>
      <c r="N185" s="15">
        <v>20</v>
      </c>
      <c r="O185" s="16">
        <f t="shared" si="20"/>
        <v>150</v>
      </c>
      <c r="P185" s="1">
        <f t="shared" si="21"/>
        <v>960</v>
      </c>
      <c r="Q185">
        <f t="shared" si="22"/>
        <v>769</v>
      </c>
      <c r="R185">
        <f t="shared" si="23"/>
        <v>631</v>
      </c>
      <c r="S185">
        <f t="shared" si="24"/>
        <v>219.8</v>
      </c>
      <c r="T185">
        <f t="shared" si="25"/>
        <v>208</v>
      </c>
      <c r="U185" s="21">
        <f t="shared" si="29"/>
        <v>0.8205461638491548</v>
      </c>
      <c r="V185" s="21">
        <f t="shared" si="26"/>
        <v>0.94631483166515018</v>
      </c>
      <c r="W185" s="21">
        <f t="shared" si="27"/>
        <v>0.34833597464342314</v>
      </c>
      <c r="X185">
        <f t="shared" si="28"/>
        <v>0.270481144343303</v>
      </c>
    </row>
    <row r="186" spans="1:24" x14ac:dyDescent="0.3">
      <c r="A186" s="2">
        <v>185</v>
      </c>
      <c r="B186" s="2" t="s">
        <v>3</v>
      </c>
      <c r="C186" s="2">
        <f>Découpe!C186-Découpe!D186-Découpe!E186</f>
        <v>1070</v>
      </c>
      <c r="D186" s="13">
        <v>24</v>
      </c>
      <c r="E186" s="13">
        <v>27</v>
      </c>
      <c r="F186" s="14">
        <v>48</v>
      </c>
      <c r="G186" s="14">
        <v>15</v>
      </c>
      <c r="H186" s="15">
        <v>9</v>
      </c>
      <c r="I186" s="14">
        <v>9</v>
      </c>
      <c r="J186" s="15">
        <v>7</v>
      </c>
      <c r="K186" s="14">
        <v>37</v>
      </c>
      <c r="L186" s="14">
        <v>24</v>
      </c>
      <c r="N186" s="15">
        <v>15</v>
      </c>
      <c r="O186" s="16">
        <f t="shared" si="20"/>
        <v>150</v>
      </c>
      <c r="P186" s="1">
        <f t="shared" si="21"/>
        <v>960</v>
      </c>
      <c r="Q186">
        <f t="shared" si="22"/>
        <v>779</v>
      </c>
      <c r="R186">
        <f t="shared" si="23"/>
        <v>646</v>
      </c>
      <c r="S186">
        <f t="shared" si="24"/>
        <v>214</v>
      </c>
      <c r="T186">
        <f t="shared" si="25"/>
        <v>203.8</v>
      </c>
      <c r="U186" s="21">
        <f t="shared" si="29"/>
        <v>0.82926829268292679</v>
      </c>
      <c r="V186" s="21">
        <f t="shared" si="26"/>
        <v>0.95233644859813082</v>
      </c>
      <c r="W186" s="21">
        <f t="shared" si="27"/>
        <v>0.33126934984520123</v>
      </c>
      <c r="X186">
        <f t="shared" si="28"/>
        <v>0.26161745827984595</v>
      </c>
    </row>
    <row r="187" spans="1:24" x14ac:dyDescent="0.3">
      <c r="A187" s="2">
        <v>186</v>
      </c>
      <c r="B187" s="2" t="s">
        <v>5</v>
      </c>
      <c r="C187" s="2">
        <f>Découpe!C187-Découpe!D187-Découpe!E187</f>
        <v>1144</v>
      </c>
      <c r="D187" s="13">
        <v>28</v>
      </c>
      <c r="E187" s="13">
        <v>38</v>
      </c>
      <c r="F187" s="14">
        <v>51</v>
      </c>
      <c r="G187" s="14">
        <v>14</v>
      </c>
      <c r="H187" s="15">
        <v>7</v>
      </c>
      <c r="I187" s="14">
        <v>7</v>
      </c>
      <c r="J187" s="15">
        <v>7</v>
      </c>
      <c r="K187" s="14">
        <v>32</v>
      </c>
      <c r="L187" s="14">
        <v>27</v>
      </c>
      <c r="N187" s="15">
        <v>19</v>
      </c>
      <c r="O187" s="16">
        <f t="shared" si="20"/>
        <v>150</v>
      </c>
      <c r="P187" s="1">
        <f t="shared" si="21"/>
        <v>960</v>
      </c>
      <c r="Q187">
        <f t="shared" si="22"/>
        <v>777</v>
      </c>
      <c r="R187">
        <f t="shared" si="23"/>
        <v>646</v>
      </c>
      <c r="S187">
        <f t="shared" si="24"/>
        <v>228.8</v>
      </c>
      <c r="T187">
        <f t="shared" si="25"/>
        <v>215.60000000000002</v>
      </c>
      <c r="U187" s="21">
        <f t="shared" si="29"/>
        <v>0.83140283140283144</v>
      </c>
      <c r="V187" s="21">
        <f t="shared" si="26"/>
        <v>0.94230769230769229</v>
      </c>
      <c r="W187" s="21">
        <f t="shared" si="27"/>
        <v>0.3541795665634675</v>
      </c>
      <c r="X187">
        <f t="shared" si="28"/>
        <v>0.27747747747747747</v>
      </c>
    </row>
    <row r="188" spans="1:24" x14ac:dyDescent="0.3">
      <c r="A188" s="2">
        <v>187</v>
      </c>
      <c r="B188" s="2" t="s">
        <v>2</v>
      </c>
      <c r="C188" s="2">
        <f>Découpe!C188-Découpe!D188-Découpe!E188</f>
        <v>1024</v>
      </c>
      <c r="D188" s="13">
        <v>25</v>
      </c>
      <c r="E188" s="13">
        <v>32</v>
      </c>
      <c r="F188" s="14">
        <v>44</v>
      </c>
      <c r="G188" s="14">
        <v>16</v>
      </c>
      <c r="H188" s="15">
        <v>5</v>
      </c>
      <c r="I188" s="14">
        <v>5</v>
      </c>
      <c r="J188" s="15">
        <v>9</v>
      </c>
      <c r="K188" s="14">
        <v>43</v>
      </c>
      <c r="L188" s="14">
        <v>29</v>
      </c>
      <c r="M188" s="15">
        <v>60</v>
      </c>
      <c r="N188" s="15">
        <v>17</v>
      </c>
      <c r="O188" s="16">
        <f t="shared" si="20"/>
        <v>150</v>
      </c>
      <c r="P188" s="1">
        <f t="shared" si="21"/>
        <v>960</v>
      </c>
      <c r="Q188">
        <f t="shared" si="22"/>
        <v>719</v>
      </c>
      <c r="R188">
        <f t="shared" si="23"/>
        <v>582</v>
      </c>
      <c r="S188">
        <f t="shared" si="24"/>
        <v>204.8</v>
      </c>
      <c r="T188">
        <f t="shared" si="25"/>
        <v>193.4</v>
      </c>
      <c r="U188" s="21">
        <f t="shared" si="29"/>
        <v>0.80945757997218359</v>
      </c>
      <c r="V188" s="21">
        <f t="shared" si="26"/>
        <v>0.9443359375</v>
      </c>
      <c r="W188" s="21">
        <f t="shared" si="27"/>
        <v>0.35189003436426119</v>
      </c>
      <c r="X188">
        <f t="shared" si="28"/>
        <v>0.26898470097357441</v>
      </c>
    </row>
    <row r="189" spans="1:24" x14ac:dyDescent="0.3">
      <c r="A189" s="2">
        <v>188</v>
      </c>
      <c r="B189" s="2" t="s">
        <v>4</v>
      </c>
      <c r="C189" s="2">
        <f>Découpe!C189-Découpe!D189-Découpe!E189</f>
        <v>1132</v>
      </c>
      <c r="D189" s="13">
        <v>22</v>
      </c>
      <c r="E189" s="13">
        <v>32</v>
      </c>
      <c r="F189" s="14">
        <v>43</v>
      </c>
      <c r="G189" s="14">
        <v>7</v>
      </c>
      <c r="H189" s="15">
        <v>13</v>
      </c>
      <c r="I189" s="14">
        <v>13</v>
      </c>
      <c r="J189" s="15">
        <v>6</v>
      </c>
      <c r="K189" s="14">
        <v>49</v>
      </c>
      <c r="L189" s="14">
        <v>32</v>
      </c>
      <c r="N189" s="15">
        <v>16</v>
      </c>
      <c r="O189" s="16">
        <f t="shared" si="20"/>
        <v>150</v>
      </c>
      <c r="P189" s="1">
        <f t="shared" si="21"/>
        <v>960</v>
      </c>
      <c r="Q189">
        <f t="shared" si="22"/>
        <v>775</v>
      </c>
      <c r="R189">
        <f t="shared" si="23"/>
        <v>631</v>
      </c>
      <c r="S189">
        <f t="shared" si="24"/>
        <v>226.4</v>
      </c>
      <c r="T189">
        <f t="shared" si="25"/>
        <v>215.60000000000002</v>
      </c>
      <c r="U189" s="21">
        <f t="shared" si="29"/>
        <v>0.81419354838709679</v>
      </c>
      <c r="V189" s="21">
        <f t="shared" si="26"/>
        <v>0.95229681978798586</v>
      </c>
      <c r="W189" s="21">
        <f t="shared" si="27"/>
        <v>0.35879556259904916</v>
      </c>
      <c r="X189">
        <f t="shared" si="28"/>
        <v>0.27819354838709681</v>
      </c>
    </row>
    <row r="190" spans="1:24" x14ac:dyDescent="0.3">
      <c r="A190" s="2">
        <v>189</v>
      </c>
      <c r="B190" s="2" t="s">
        <v>3</v>
      </c>
      <c r="C190" s="2">
        <f>Découpe!C190-Découpe!D190-Découpe!E190</f>
        <v>943</v>
      </c>
      <c r="D190" s="13">
        <v>24</v>
      </c>
      <c r="E190" s="13">
        <v>40</v>
      </c>
      <c r="F190" s="14">
        <v>47</v>
      </c>
      <c r="G190" s="14">
        <v>13</v>
      </c>
      <c r="H190" s="15">
        <v>9</v>
      </c>
      <c r="I190" s="14">
        <v>8</v>
      </c>
      <c r="J190" s="15">
        <v>7</v>
      </c>
      <c r="K190" s="14">
        <v>39</v>
      </c>
      <c r="L190" s="14">
        <v>24</v>
      </c>
      <c r="N190" s="15">
        <v>16</v>
      </c>
      <c r="O190" s="16">
        <f t="shared" si="20"/>
        <v>150</v>
      </c>
      <c r="P190" s="1">
        <f t="shared" si="21"/>
        <v>960</v>
      </c>
      <c r="Q190">
        <f t="shared" si="22"/>
        <v>778</v>
      </c>
      <c r="R190">
        <f t="shared" si="23"/>
        <v>647</v>
      </c>
      <c r="S190">
        <f t="shared" si="24"/>
        <v>188.60000000000002</v>
      </c>
      <c r="T190">
        <f t="shared" si="25"/>
        <v>175.8</v>
      </c>
      <c r="U190" s="21">
        <f t="shared" si="29"/>
        <v>0.83161953727506421</v>
      </c>
      <c r="V190" s="21">
        <f t="shared" si="26"/>
        <v>0.93213149522799577</v>
      </c>
      <c r="W190" s="21">
        <f t="shared" si="27"/>
        <v>0.29149922720247301</v>
      </c>
      <c r="X190">
        <f t="shared" si="28"/>
        <v>0.22596401028277638</v>
      </c>
    </row>
    <row r="191" spans="1:24" x14ac:dyDescent="0.3">
      <c r="A191" s="2">
        <v>190</v>
      </c>
      <c r="B191" s="2" t="s">
        <v>5</v>
      </c>
      <c r="C191" s="2">
        <f>Découpe!C191-Découpe!D191-Découpe!E191</f>
        <v>1118</v>
      </c>
      <c r="D191" s="13">
        <v>17</v>
      </c>
      <c r="E191" s="13">
        <v>27</v>
      </c>
      <c r="F191" s="14">
        <v>56</v>
      </c>
      <c r="G191" s="14">
        <v>17</v>
      </c>
      <c r="H191" s="15">
        <v>12</v>
      </c>
      <c r="I191" s="14">
        <v>11</v>
      </c>
      <c r="J191" s="15">
        <v>8</v>
      </c>
      <c r="K191" s="14">
        <v>39</v>
      </c>
      <c r="L191" s="14">
        <v>19</v>
      </c>
      <c r="N191" s="15">
        <v>15</v>
      </c>
      <c r="O191" s="16">
        <f t="shared" si="20"/>
        <v>150</v>
      </c>
      <c r="P191" s="1">
        <f t="shared" si="21"/>
        <v>960</v>
      </c>
      <c r="Q191">
        <f t="shared" si="22"/>
        <v>775</v>
      </c>
      <c r="R191">
        <f t="shared" si="23"/>
        <v>633</v>
      </c>
      <c r="S191">
        <f t="shared" si="24"/>
        <v>223.60000000000002</v>
      </c>
      <c r="T191">
        <f t="shared" si="25"/>
        <v>214.8</v>
      </c>
      <c r="U191" s="21">
        <f t="shared" si="29"/>
        <v>0.8167741935483871</v>
      </c>
      <c r="V191" s="21">
        <f t="shared" si="26"/>
        <v>0.96064400715563503</v>
      </c>
      <c r="W191" s="21">
        <f t="shared" si="27"/>
        <v>0.35323854660347553</v>
      </c>
      <c r="X191">
        <f t="shared" si="28"/>
        <v>0.27716129032258063</v>
      </c>
    </row>
    <row r="192" spans="1:24" x14ac:dyDescent="0.3">
      <c r="A192" s="2">
        <v>191</v>
      </c>
      <c r="B192" s="2" t="s">
        <v>4</v>
      </c>
      <c r="C192" s="2">
        <f>Découpe!C192-Découpe!D192-Découpe!E192</f>
        <v>1083</v>
      </c>
      <c r="D192" s="13">
        <v>17</v>
      </c>
      <c r="E192" s="13">
        <v>20</v>
      </c>
      <c r="F192" s="14">
        <v>47</v>
      </c>
      <c r="G192" s="14">
        <v>11</v>
      </c>
      <c r="H192" s="15">
        <v>5</v>
      </c>
      <c r="I192" s="14">
        <v>4</v>
      </c>
      <c r="J192" s="15">
        <v>7</v>
      </c>
      <c r="K192" s="14">
        <v>26</v>
      </c>
      <c r="L192" s="14">
        <v>25</v>
      </c>
      <c r="N192" s="15">
        <v>18</v>
      </c>
      <c r="O192" s="16">
        <f t="shared" si="20"/>
        <v>150</v>
      </c>
      <c r="P192" s="1">
        <f t="shared" si="21"/>
        <v>960</v>
      </c>
      <c r="Q192">
        <f t="shared" si="22"/>
        <v>780</v>
      </c>
      <c r="R192">
        <f t="shared" si="23"/>
        <v>667</v>
      </c>
      <c r="S192">
        <f t="shared" si="24"/>
        <v>216.60000000000002</v>
      </c>
      <c r="T192">
        <f t="shared" si="25"/>
        <v>209.20000000000002</v>
      </c>
      <c r="U192" s="21">
        <f t="shared" si="29"/>
        <v>0.85512820512820509</v>
      </c>
      <c r="V192" s="21">
        <f t="shared" si="26"/>
        <v>0.96583564173591874</v>
      </c>
      <c r="W192" s="21">
        <f t="shared" si="27"/>
        <v>0.32473763118440785</v>
      </c>
      <c r="X192">
        <f t="shared" si="28"/>
        <v>0.26820512820512826</v>
      </c>
    </row>
    <row r="193" spans="1:24" x14ac:dyDescent="0.3">
      <c r="A193" s="2">
        <v>192</v>
      </c>
      <c r="B193" s="2" t="s">
        <v>2</v>
      </c>
      <c r="C193" s="2">
        <f>Découpe!C193-Découpe!D193-Découpe!E193</f>
        <v>1189</v>
      </c>
      <c r="D193" s="13">
        <v>15</v>
      </c>
      <c r="E193" s="13">
        <v>30</v>
      </c>
      <c r="F193" s="14">
        <v>43</v>
      </c>
      <c r="G193" s="14">
        <v>8</v>
      </c>
      <c r="H193" s="15">
        <v>10</v>
      </c>
      <c r="I193" s="14">
        <v>10</v>
      </c>
      <c r="J193" s="15">
        <v>7</v>
      </c>
      <c r="K193" s="14">
        <v>33</v>
      </c>
      <c r="L193" s="14">
        <v>18</v>
      </c>
      <c r="N193" s="15">
        <v>16</v>
      </c>
      <c r="O193" s="16">
        <f t="shared" si="20"/>
        <v>150</v>
      </c>
      <c r="P193" s="1">
        <f t="shared" si="21"/>
        <v>960</v>
      </c>
      <c r="Q193">
        <f t="shared" si="22"/>
        <v>777</v>
      </c>
      <c r="R193">
        <f t="shared" si="23"/>
        <v>665</v>
      </c>
      <c r="S193">
        <f t="shared" si="24"/>
        <v>237.8</v>
      </c>
      <c r="T193">
        <f t="shared" si="25"/>
        <v>228.8</v>
      </c>
      <c r="U193" s="21">
        <f t="shared" si="29"/>
        <v>0.85585585585585588</v>
      </c>
      <c r="V193" s="21">
        <f t="shared" si="26"/>
        <v>0.96215306980656012</v>
      </c>
      <c r="W193" s="21">
        <f t="shared" si="27"/>
        <v>0.35759398496240602</v>
      </c>
      <c r="X193">
        <f t="shared" si="28"/>
        <v>0.2944658944658945</v>
      </c>
    </row>
    <row r="194" spans="1:24" x14ac:dyDescent="0.3">
      <c r="A194" s="2">
        <v>193</v>
      </c>
      <c r="B194" s="2" t="s">
        <v>2</v>
      </c>
      <c r="C194" s="2">
        <f>Découpe!C194-Découpe!D194-Découpe!E194</f>
        <v>1161</v>
      </c>
      <c r="D194" s="13">
        <v>16</v>
      </c>
      <c r="E194" s="13">
        <v>38</v>
      </c>
      <c r="F194" s="14">
        <v>47</v>
      </c>
      <c r="G194" s="14">
        <v>8</v>
      </c>
      <c r="H194" s="15">
        <v>8</v>
      </c>
      <c r="I194" s="14">
        <v>7</v>
      </c>
      <c r="J194" s="15">
        <v>9</v>
      </c>
      <c r="L194" s="14">
        <v>31</v>
      </c>
      <c r="N194" s="15">
        <v>16</v>
      </c>
      <c r="O194" s="16">
        <f t="shared" si="20"/>
        <v>150</v>
      </c>
      <c r="P194" s="1">
        <f t="shared" si="21"/>
        <v>960</v>
      </c>
      <c r="Q194">
        <f t="shared" si="22"/>
        <v>777</v>
      </c>
      <c r="R194">
        <f t="shared" si="23"/>
        <v>684</v>
      </c>
      <c r="S194">
        <f t="shared" si="24"/>
        <v>232.20000000000002</v>
      </c>
      <c r="T194">
        <f t="shared" si="25"/>
        <v>221.4</v>
      </c>
      <c r="U194" s="21">
        <f t="shared" si="29"/>
        <v>0.88030888030888033</v>
      </c>
      <c r="V194" s="21">
        <f t="shared" si="26"/>
        <v>0.95348837209302328</v>
      </c>
      <c r="W194" s="21">
        <f t="shared" si="27"/>
        <v>0.33947368421052632</v>
      </c>
      <c r="X194">
        <f t="shared" si="28"/>
        <v>0.28494208494208495</v>
      </c>
    </row>
    <row r="195" spans="1:24" x14ac:dyDescent="0.3">
      <c r="A195" s="2">
        <v>194</v>
      </c>
      <c r="B195" s="2" t="s">
        <v>2</v>
      </c>
      <c r="C195" s="2">
        <f>Découpe!C195-Découpe!D195-Découpe!E195</f>
        <v>1228</v>
      </c>
      <c r="D195" s="13">
        <v>28</v>
      </c>
      <c r="E195" s="13">
        <v>26</v>
      </c>
      <c r="F195" s="14">
        <v>60</v>
      </c>
      <c r="G195" s="14">
        <v>12</v>
      </c>
      <c r="H195" s="15">
        <v>14</v>
      </c>
      <c r="I195" s="14">
        <v>13</v>
      </c>
      <c r="J195" s="15">
        <v>8</v>
      </c>
      <c r="L195" s="14">
        <v>19</v>
      </c>
      <c r="N195" s="15">
        <v>20</v>
      </c>
      <c r="O195" s="16">
        <f t="shared" ref="O195:O251" si="30">37500/250</f>
        <v>150</v>
      </c>
      <c r="P195" s="1">
        <f t="shared" ref="P195:P251" si="31">4000*60/250</f>
        <v>960</v>
      </c>
      <c r="Q195">
        <f t="shared" ref="Q195:Q251" si="32">P195-H195-J195-M195-N195-O195</f>
        <v>768</v>
      </c>
      <c r="R195">
        <f t="shared" ref="R195:R251" si="33">Q195-F195-G195-I195-K195-L195</f>
        <v>664</v>
      </c>
      <c r="S195">
        <f t="shared" ref="S195:S251" si="34">C195*0.2</f>
        <v>245.60000000000002</v>
      </c>
      <c r="T195">
        <f t="shared" ref="T195:T251" si="35">(C195-D195-E195)*0.2</f>
        <v>234.8</v>
      </c>
      <c r="U195" s="21">
        <f t="shared" si="29"/>
        <v>0.86458333333333337</v>
      </c>
      <c r="V195" s="21">
        <f t="shared" ref="V195:V251" si="36">(C195-D195-E195)/C195</f>
        <v>0.9560260586319218</v>
      </c>
      <c r="W195" s="21">
        <f t="shared" ref="W195:W251" si="37">S195/R195</f>
        <v>0.36987951807228919</v>
      </c>
      <c r="X195">
        <f t="shared" ref="X195:X251" si="38">U195*V195*W195</f>
        <v>0.30572916666666666</v>
      </c>
    </row>
    <row r="196" spans="1:24" x14ac:dyDescent="0.3">
      <c r="A196" s="2">
        <v>195</v>
      </c>
      <c r="B196" s="2" t="s">
        <v>4</v>
      </c>
      <c r="C196" s="2">
        <f>Découpe!C196-Découpe!D196-Découpe!E196</f>
        <v>1065</v>
      </c>
      <c r="D196" s="13">
        <v>23</v>
      </c>
      <c r="E196" s="13">
        <v>34</v>
      </c>
      <c r="F196" s="14">
        <v>59</v>
      </c>
      <c r="G196" s="14">
        <v>12</v>
      </c>
      <c r="H196" s="15">
        <v>13</v>
      </c>
      <c r="I196" s="14">
        <v>13</v>
      </c>
      <c r="J196" s="15">
        <v>9</v>
      </c>
      <c r="K196" s="14">
        <v>30</v>
      </c>
      <c r="L196" s="14">
        <v>19</v>
      </c>
      <c r="N196" s="15">
        <v>19</v>
      </c>
      <c r="O196" s="16">
        <f t="shared" si="30"/>
        <v>150</v>
      </c>
      <c r="P196" s="1">
        <f t="shared" si="31"/>
        <v>960</v>
      </c>
      <c r="Q196">
        <f t="shared" si="32"/>
        <v>769</v>
      </c>
      <c r="R196">
        <f t="shared" si="33"/>
        <v>636</v>
      </c>
      <c r="S196">
        <f t="shared" si="34"/>
        <v>213</v>
      </c>
      <c r="T196">
        <f t="shared" si="35"/>
        <v>201.60000000000002</v>
      </c>
      <c r="U196" s="21">
        <f t="shared" ref="U196:U251" si="39">R196/Q196</f>
        <v>0.82704811443433035</v>
      </c>
      <c r="V196" s="21">
        <f t="shared" si="36"/>
        <v>0.94647887323943658</v>
      </c>
      <c r="W196" s="21">
        <f t="shared" si="37"/>
        <v>0.33490566037735847</v>
      </c>
      <c r="X196">
        <f t="shared" si="38"/>
        <v>0.26215864759427832</v>
      </c>
    </row>
    <row r="197" spans="1:24" x14ac:dyDescent="0.3">
      <c r="A197" s="2">
        <v>196</v>
      </c>
      <c r="B197" s="2" t="s">
        <v>4</v>
      </c>
      <c r="C197" s="2">
        <f>Découpe!C197-Découpe!D197-Découpe!E197</f>
        <v>1181</v>
      </c>
      <c r="D197" s="13">
        <v>18</v>
      </c>
      <c r="E197" s="13">
        <v>36</v>
      </c>
      <c r="F197" s="14">
        <v>40</v>
      </c>
      <c r="G197" s="14">
        <v>8</v>
      </c>
      <c r="H197" s="15">
        <v>11</v>
      </c>
      <c r="I197" s="14">
        <v>11</v>
      </c>
      <c r="J197" s="15">
        <v>8</v>
      </c>
      <c r="L197" s="14">
        <v>19</v>
      </c>
      <c r="N197" s="15">
        <v>18</v>
      </c>
      <c r="O197" s="16">
        <f t="shared" si="30"/>
        <v>150</v>
      </c>
      <c r="P197" s="1">
        <f t="shared" si="31"/>
        <v>960</v>
      </c>
      <c r="Q197">
        <f t="shared" si="32"/>
        <v>773</v>
      </c>
      <c r="R197">
        <f t="shared" si="33"/>
        <v>695</v>
      </c>
      <c r="S197">
        <f t="shared" si="34"/>
        <v>236.20000000000002</v>
      </c>
      <c r="T197">
        <f t="shared" si="35"/>
        <v>225.4</v>
      </c>
      <c r="U197" s="21">
        <f t="shared" si="39"/>
        <v>0.89909443725743854</v>
      </c>
      <c r="V197" s="21">
        <f t="shared" si="36"/>
        <v>0.95427603725656218</v>
      </c>
      <c r="W197" s="21">
        <f t="shared" si="37"/>
        <v>0.33985611510791369</v>
      </c>
      <c r="X197">
        <f t="shared" si="38"/>
        <v>0.29159120310478653</v>
      </c>
    </row>
    <row r="198" spans="1:24" x14ac:dyDescent="0.3">
      <c r="A198" s="2">
        <v>197</v>
      </c>
      <c r="B198" s="2" t="s">
        <v>4</v>
      </c>
      <c r="C198" s="2">
        <f>Découpe!C198-Découpe!D198-Découpe!E198</f>
        <v>986</v>
      </c>
      <c r="D198" s="13">
        <v>20</v>
      </c>
      <c r="E198" s="13">
        <v>30</v>
      </c>
      <c r="F198" s="14">
        <v>18</v>
      </c>
      <c r="G198" s="14">
        <v>17</v>
      </c>
      <c r="H198" s="15">
        <v>14</v>
      </c>
      <c r="I198" s="14">
        <v>13</v>
      </c>
      <c r="J198" s="15">
        <v>8</v>
      </c>
      <c r="L198" s="14">
        <v>21</v>
      </c>
      <c r="M198" s="15">
        <v>200</v>
      </c>
      <c r="N198" s="15">
        <v>16</v>
      </c>
      <c r="O198" s="16">
        <f t="shared" si="30"/>
        <v>150</v>
      </c>
      <c r="P198" s="1">
        <f t="shared" si="31"/>
        <v>960</v>
      </c>
      <c r="Q198">
        <f t="shared" si="32"/>
        <v>572</v>
      </c>
      <c r="R198">
        <f t="shared" si="33"/>
        <v>503</v>
      </c>
      <c r="S198">
        <f t="shared" si="34"/>
        <v>197.20000000000002</v>
      </c>
      <c r="T198">
        <f t="shared" si="35"/>
        <v>187.20000000000002</v>
      </c>
      <c r="U198" s="21">
        <f t="shared" si="39"/>
        <v>0.87937062937062938</v>
      </c>
      <c r="V198" s="21">
        <f t="shared" si="36"/>
        <v>0.94929006085192702</v>
      </c>
      <c r="W198" s="21">
        <f t="shared" si="37"/>
        <v>0.39204771371769387</v>
      </c>
      <c r="X198">
        <f t="shared" si="38"/>
        <v>0.32727272727272733</v>
      </c>
    </row>
    <row r="199" spans="1:24" x14ac:dyDescent="0.3">
      <c r="A199" s="2">
        <v>198</v>
      </c>
      <c r="B199" s="2" t="s">
        <v>3</v>
      </c>
      <c r="C199" s="2">
        <f>Découpe!C199-Découpe!D199-Découpe!E199</f>
        <v>1139</v>
      </c>
      <c r="D199" s="13">
        <v>20</v>
      </c>
      <c r="E199" s="13">
        <v>41</v>
      </c>
      <c r="F199" s="14">
        <v>24</v>
      </c>
      <c r="G199" s="14">
        <v>17</v>
      </c>
      <c r="H199" s="15">
        <v>5</v>
      </c>
      <c r="I199" s="14">
        <v>5</v>
      </c>
      <c r="J199" s="15">
        <v>5</v>
      </c>
      <c r="K199" s="14">
        <v>23</v>
      </c>
      <c r="L199" s="14">
        <v>18</v>
      </c>
      <c r="N199" s="15">
        <v>17</v>
      </c>
      <c r="O199" s="16">
        <f t="shared" si="30"/>
        <v>150</v>
      </c>
      <c r="P199" s="1">
        <f t="shared" si="31"/>
        <v>960</v>
      </c>
      <c r="Q199">
        <f t="shared" si="32"/>
        <v>783</v>
      </c>
      <c r="R199">
        <f t="shared" si="33"/>
        <v>696</v>
      </c>
      <c r="S199">
        <f t="shared" si="34"/>
        <v>227.8</v>
      </c>
      <c r="T199">
        <f t="shared" si="35"/>
        <v>215.60000000000002</v>
      </c>
      <c r="U199" s="21">
        <f t="shared" si="39"/>
        <v>0.88888888888888884</v>
      </c>
      <c r="V199" s="21">
        <f t="shared" si="36"/>
        <v>0.94644424934152771</v>
      </c>
      <c r="W199" s="21">
        <f t="shared" si="37"/>
        <v>0.32729885057471264</v>
      </c>
      <c r="X199">
        <f t="shared" si="38"/>
        <v>0.27535121328224776</v>
      </c>
    </row>
    <row r="200" spans="1:24" x14ac:dyDescent="0.3">
      <c r="A200" s="2">
        <v>199</v>
      </c>
      <c r="B200" s="2" t="s">
        <v>2</v>
      </c>
      <c r="C200" s="2">
        <f>Découpe!C200-Découpe!D200-Découpe!E200</f>
        <v>1205</v>
      </c>
      <c r="D200" s="13">
        <v>14</v>
      </c>
      <c r="E200" s="13">
        <v>21</v>
      </c>
      <c r="F200" s="14">
        <v>22</v>
      </c>
      <c r="G200" s="14">
        <v>9</v>
      </c>
      <c r="H200" s="15">
        <v>8</v>
      </c>
      <c r="I200" s="14">
        <v>8</v>
      </c>
      <c r="J200" s="15">
        <v>7</v>
      </c>
      <c r="K200" s="14">
        <v>19</v>
      </c>
      <c r="L200" s="14">
        <v>24</v>
      </c>
      <c r="N200" s="15">
        <v>19</v>
      </c>
      <c r="O200" s="16">
        <f t="shared" si="30"/>
        <v>150</v>
      </c>
      <c r="P200" s="1">
        <f t="shared" si="31"/>
        <v>960</v>
      </c>
      <c r="Q200">
        <f t="shared" si="32"/>
        <v>776</v>
      </c>
      <c r="R200">
        <f t="shared" si="33"/>
        <v>694</v>
      </c>
      <c r="S200">
        <f t="shared" si="34"/>
        <v>241</v>
      </c>
      <c r="T200">
        <f t="shared" si="35"/>
        <v>234</v>
      </c>
      <c r="U200" s="21">
        <f t="shared" si="39"/>
        <v>0.89432989690721654</v>
      </c>
      <c r="V200" s="21">
        <f t="shared" si="36"/>
        <v>0.97095435684647302</v>
      </c>
      <c r="W200" s="21">
        <f t="shared" si="37"/>
        <v>0.3472622478386167</v>
      </c>
      <c r="X200">
        <f t="shared" si="38"/>
        <v>0.3015463917525773</v>
      </c>
    </row>
    <row r="201" spans="1:24" x14ac:dyDescent="0.3">
      <c r="A201" s="2">
        <v>200</v>
      </c>
      <c r="B201" s="2" t="s">
        <v>4</v>
      </c>
      <c r="C201" s="2">
        <f>Découpe!C201-Découpe!D201-Découpe!E201</f>
        <v>948</v>
      </c>
      <c r="D201" s="13">
        <v>21</v>
      </c>
      <c r="E201" s="13">
        <v>23</v>
      </c>
      <c r="F201" s="14">
        <v>30</v>
      </c>
      <c r="G201" s="14">
        <v>18</v>
      </c>
      <c r="H201" s="15">
        <v>12</v>
      </c>
      <c r="I201" s="14">
        <v>11</v>
      </c>
      <c r="J201" s="15">
        <v>9</v>
      </c>
      <c r="K201" s="14">
        <v>30</v>
      </c>
      <c r="L201" s="14">
        <v>21</v>
      </c>
      <c r="N201" s="15">
        <v>20</v>
      </c>
      <c r="O201" s="16">
        <f t="shared" si="30"/>
        <v>150</v>
      </c>
      <c r="P201" s="1">
        <f t="shared" si="31"/>
        <v>960</v>
      </c>
      <c r="Q201">
        <f t="shared" si="32"/>
        <v>769</v>
      </c>
      <c r="R201">
        <f t="shared" si="33"/>
        <v>659</v>
      </c>
      <c r="S201">
        <f t="shared" si="34"/>
        <v>189.60000000000002</v>
      </c>
      <c r="T201">
        <f t="shared" si="35"/>
        <v>180.8</v>
      </c>
      <c r="U201" s="21">
        <f t="shared" si="39"/>
        <v>0.85695708712613783</v>
      </c>
      <c r="V201" s="21">
        <f t="shared" si="36"/>
        <v>0.95358649789029537</v>
      </c>
      <c r="W201" s="21">
        <f t="shared" si="37"/>
        <v>0.2877086494688923</v>
      </c>
      <c r="X201">
        <f t="shared" si="38"/>
        <v>0.23511053315994804</v>
      </c>
    </row>
    <row r="202" spans="1:24" x14ac:dyDescent="0.3">
      <c r="A202" s="2">
        <v>201</v>
      </c>
      <c r="B202" s="2" t="s">
        <v>3</v>
      </c>
      <c r="C202" s="2">
        <f>Découpe!C202-Découpe!D202-Découpe!E202</f>
        <v>1269</v>
      </c>
      <c r="D202" s="13">
        <v>27</v>
      </c>
      <c r="E202" s="13">
        <v>30</v>
      </c>
      <c r="F202" s="14">
        <v>27</v>
      </c>
      <c r="G202" s="14">
        <v>13</v>
      </c>
      <c r="H202" s="15">
        <v>14</v>
      </c>
      <c r="I202" s="14">
        <v>14</v>
      </c>
      <c r="J202" s="15">
        <v>5</v>
      </c>
      <c r="K202" s="14">
        <v>38</v>
      </c>
      <c r="L202" s="14">
        <v>19</v>
      </c>
      <c r="N202" s="15">
        <v>18</v>
      </c>
      <c r="O202" s="16">
        <f t="shared" si="30"/>
        <v>150</v>
      </c>
      <c r="P202" s="1">
        <f t="shared" si="31"/>
        <v>960</v>
      </c>
      <c r="Q202">
        <f t="shared" si="32"/>
        <v>773</v>
      </c>
      <c r="R202">
        <f t="shared" si="33"/>
        <v>662</v>
      </c>
      <c r="S202">
        <f t="shared" si="34"/>
        <v>253.8</v>
      </c>
      <c r="T202">
        <f t="shared" si="35"/>
        <v>242.4</v>
      </c>
      <c r="U202" s="21">
        <f t="shared" si="39"/>
        <v>0.85640362225097022</v>
      </c>
      <c r="V202" s="21">
        <f t="shared" si="36"/>
        <v>0.95508274231678492</v>
      </c>
      <c r="W202" s="21">
        <f t="shared" si="37"/>
        <v>0.38338368580060422</v>
      </c>
      <c r="X202">
        <f t="shared" si="38"/>
        <v>0.31358344113842174</v>
      </c>
    </row>
    <row r="203" spans="1:24" x14ac:dyDescent="0.3">
      <c r="A203" s="2">
        <v>202</v>
      </c>
      <c r="B203" s="2" t="s">
        <v>5</v>
      </c>
      <c r="C203" s="2">
        <f>Découpe!C203-Découpe!D203-Découpe!E203</f>
        <v>1054</v>
      </c>
      <c r="D203" s="13">
        <v>23</v>
      </c>
      <c r="E203" s="13">
        <v>34</v>
      </c>
      <c r="F203" s="14">
        <v>24</v>
      </c>
      <c r="G203" s="14">
        <v>11</v>
      </c>
      <c r="H203" s="15">
        <v>11</v>
      </c>
      <c r="I203" s="14">
        <v>11</v>
      </c>
      <c r="J203" s="15">
        <v>8</v>
      </c>
      <c r="K203" s="14">
        <v>24</v>
      </c>
      <c r="L203" s="14">
        <v>30</v>
      </c>
      <c r="N203" s="15">
        <v>19</v>
      </c>
      <c r="O203" s="16">
        <f t="shared" si="30"/>
        <v>150</v>
      </c>
      <c r="P203" s="1">
        <f t="shared" si="31"/>
        <v>960</v>
      </c>
      <c r="Q203">
        <f t="shared" si="32"/>
        <v>772</v>
      </c>
      <c r="R203">
        <f t="shared" si="33"/>
        <v>672</v>
      </c>
      <c r="S203">
        <f t="shared" si="34"/>
        <v>210.8</v>
      </c>
      <c r="T203">
        <f t="shared" si="35"/>
        <v>199.4</v>
      </c>
      <c r="U203" s="21">
        <f t="shared" si="39"/>
        <v>0.8704663212435233</v>
      </c>
      <c r="V203" s="21">
        <f t="shared" si="36"/>
        <v>0.9459203036053131</v>
      </c>
      <c r="W203" s="21">
        <f t="shared" si="37"/>
        <v>0.31369047619047619</v>
      </c>
      <c r="X203">
        <f t="shared" si="38"/>
        <v>0.2582901554404145</v>
      </c>
    </row>
    <row r="204" spans="1:24" x14ac:dyDescent="0.3">
      <c r="A204" s="2">
        <v>203</v>
      </c>
      <c r="B204" s="2" t="s">
        <v>4</v>
      </c>
      <c r="C204" s="2">
        <f>Découpe!C204-Découpe!D204-Découpe!E204</f>
        <v>1175</v>
      </c>
      <c r="D204" s="13">
        <v>27</v>
      </c>
      <c r="E204" s="13">
        <v>21</v>
      </c>
      <c r="F204" s="14">
        <v>24</v>
      </c>
      <c r="G204" s="14">
        <v>12</v>
      </c>
      <c r="H204" s="15">
        <v>13</v>
      </c>
      <c r="I204" s="14">
        <v>13</v>
      </c>
      <c r="J204" s="15">
        <v>9</v>
      </c>
      <c r="K204" s="14">
        <v>42</v>
      </c>
      <c r="L204" s="14">
        <v>22</v>
      </c>
      <c r="N204" s="15">
        <v>20</v>
      </c>
      <c r="O204" s="16">
        <f t="shared" si="30"/>
        <v>150</v>
      </c>
      <c r="P204" s="1">
        <f t="shared" si="31"/>
        <v>960</v>
      </c>
      <c r="Q204">
        <f t="shared" si="32"/>
        <v>768</v>
      </c>
      <c r="R204">
        <f t="shared" si="33"/>
        <v>655</v>
      </c>
      <c r="S204">
        <f t="shared" si="34"/>
        <v>235</v>
      </c>
      <c r="T204">
        <f t="shared" si="35"/>
        <v>225.4</v>
      </c>
      <c r="U204" s="21">
        <f t="shared" si="39"/>
        <v>0.85286458333333337</v>
      </c>
      <c r="V204" s="21">
        <f t="shared" si="36"/>
        <v>0.9591489361702128</v>
      </c>
      <c r="W204" s="21">
        <f t="shared" si="37"/>
        <v>0.35877862595419846</v>
      </c>
      <c r="X204">
        <f t="shared" si="38"/>
        <v>0.2934895833333333</v>
      </c>
    </row>
    <row r="205" spans="1:24" x14ac:dyDescent="0.3">
      <c r="A205" s="2">
        <v>204</v>
      </c>
      <c r="B205" s="2" t="s">
        <v>3</v>
      </c>
      <c r="C205" s="2">
        <f>Découpe!C205-Découpe!D205-Découpe!E205</f>
        <v>1149</v>
      </c>
      <c r="D205" s="13">
        <v>21</v>
      </c>
      <c r="E205" s="13">
        <v>24</v>
      </c>
      <c r="F205" s="14">
        <v>22</v>
      </c>
      <c r="G205" s="14">
        <v>8</v>
      </c>
      <c r="H205" s="15">
        <v>10</v>
      </c>
      <c r="I205" s="14">
        <v>9</v>
      </c>
      <c r="J205" s="15">
        <v>5</v>
      </c>
      <c r="K205" s="14">
        <v>30</v>
      </c>
      <c r="L205" s="14">
        <v>21</v>
      </c>
      <c r="N205" s="15">
        <v>17</v>
      </c>
      <c r="O205" s="16">
        <f t="shared" si="30"/>
        <v>150</v>
      </c>
      <c r="P205" s="1">
        <f t="shared" si="31"/>
        <v>960</v>
      </c>
      <c r="Q205">
        <f t="shared" si="32"/>
        <v>778</v>
      </c>
      <c r="R205">
        <f t="shared" si="33"/>
        <v>688</v>
      </c>
      <c r="S205">
        <f t="shared" si="34"/>
        <v>229.8</v>
      </c>
      <c r="T205">
        <f t="shared" si="35"/>
        <v>220.8</v>
      </c>
      <c r="U205" s="21">
        <f t="shared" si="39"/>
        <v>0.88431876606683801</v>
      </c>
      <c r="V205" s="21">
        <f t="shared" si="36"/>
        <v>0.96083550913838123</v>
      </c>
      <c r="W205" s="21">
        <f t="shared" si="37"/>
        <v>0.33401162790697675</v>
      </c>
      <c r="X205">
        <f t="shared" si="38"/>
        <v>0.28380462724935734</v>
      </c>
    </row>
    <row r="206" spans="1:24" x14ac:dyDescent="0.3">
      <c r="A206" s="2">
        <v>205</v>
      </c>
      <c r="B206" s="2" t="s">
        <v>5</v>
      </c>
      <c r="C206" s="2">
        <f>Découpe!C206-Découpe!D206-Découpe!E206</f>
        <v>1132</v>
      </c>
      <c r="D206" s="13">
        <v>20</v>
      </c>
      <c r="E206" s="13">
        <v>30</v>
      </c>
      <c r="F206" s="14">
        <v>26</v>
      </c>
      <c r="G206" s="14">
        <v>13</v>
      </c>
      <c r="H206" s="15">
        <v>8</v>
      </c>
      <c r="I206" s="14">
        <v>8</v>
      </c>
      <c r="J206" s="15">
        <v>8</v>
      </c>
      <c r="K206" s="14">
        <v>35</v>
      </c>
      <c r="L206" s="14">
        <v>25</v>
      </c>
      <c r="N206" s="15">
        <v>17</v>
      </c>
      <c r="O206" s="16">
        <f t="shared" si="30"/>
        <v>150</v>
      </c>
      <c r="P206" s="1">
        <f t="shared" si="31"/>
        <v>960</v>
      </c>
      <c r="Q206">
        <f t="shared" si="32"/>
        <v>777</v>
      </c>
      <c r="R206">
        <f t="shared" si="33"/>
        <v>670</v>
      </c>
      <c r="S206">
        <f t="shared" si="34"/>
        <v>226.4</v>
      </c>
      <c r="T206">
        <f t="shared" si="35"/>
        <v>216.4</v>
      </c>
      <c r="U206" s="21">
        <f t="shared" si="39"/>
        <v>0.86229086229086227</v>
      </c>
      <c r="V206" s="21">
        <f t="shared" si="36"/>
        <v>0.95583038869257952</v>
      </c>
      <c r="W206" s="21">
        <f t="shared" si="37"/>
        <v>0.33791044776119405</v>
      </c>
      <c r="X206">
        <f t="shared" si="38"/>
        <v>0.27850707850707851</v>
      </c>
    </row>
    <row r="207" spans="1:24" x14ac:dyDescent="0.3">
      <c r="A207" s="2">
        <v>206</v>
      </c>
      <c r="B207" s="2" t="s">
        <v>5</v>
      </c>
      <c r="C207" s="2">
        <f>Découpe!C207-Découpe!D207-Découpe!E207</f>
        <v>1049</v>
      </c>
      <c r="D207" s="13">
        <v>22</v>
      </c>
      <c r="E207" s="13">
        <v>23</v>
      </c>
      <c r="F207" s="14">
        <v>29</v>
      </c>
      <c r="G207" s="14">
        <v>19</v>
      </c>
      <c r="H207" s="15">
        <v>9</v>
      </c>
      <c r="I207" s="14">
        <v>8</v>
      </c>
      <c r="J207" s="15">
        <v>8</v>
      </c>
      <c r="L207" s="14">
        <v>26</v>
      </c>
      <c r="N207" s="15">
        <v>19</v>
      </c>
      <c r="O207" s="16">
        <f t="shared" si="30"/>
        <v>150</v>
      </c>
      <c r="P207" s="1">
        <f t="shared" si="31"/>
        <v>960</v>
      </c>
      <c r="Q207">
        <f t="shared" si="32"/>
        <v>774</v>
      </c>
      <c r="R207">
        <f t="shared" si="33"/>
        <v>692</v>
      </c>
      <c r="S207">
        <f t="shared" si="34"/>
        <v>209.8</v>
      </c>
      <c r="T207">
        <f t="shared" si="35"/>
        <v>200.8</v>
      </c>
      <c r="U207" s="21">
        <f t="shared" si="39"/>
        <v>0.89405684754521964</v>
      </c>
      <c r="V207" s="21">
        <f t="shared" si="36"/>
        <v>0.95710200190657768</v>
      </c>
      <c r="W207" s="21">
        <f t="shared" si="37"/>
        <v>0.30317919075144512</v>
      </c>
      <c r="X207">
        <f t="shared" si="38"/>
        <v>0.25943152454780366</v>
      </c>
    </row>
    <row r="208" spans="1:24" x14ac:dyDescent="0.3">
      <c r="A208" s="2">
        <v>207</v>
      </c>
      <c r="B208" s="2" t="s">
        <v>4</v>
      </c>
      <c r="C208" s="2">
        <f>Découpe!C208-Découpe!D208-Découpe!E208</f>
        <v>1093</v>
      </c>
      <c r="D208" s="13">
        <v>14</v>
      </c>
      <c r="E208" s="13">
        <v>42</v>
      </c>
      <c r="F208" s="14">
        <v>34</v>
      </c>
      <c r="G208" s="14">
        <v>13</v>
      </c>
      <c r="H208" s="15">
        <v>5</v>
      </c>
      <c r="I208" s="14">
        <v>4</v>
      </c>
      <c r="J208" s="15">
        <v>7</v>
      </c>
      <c r="K208" s="14">
        <v>34</v>
      </c>
      <c r="L208" s="14">
        <v>25</v>
      </c>
      <c r="N208" s="15">
        <v>19</v>
      </c>
      <c r="O208" s="16">
        <f t="shared" si="30"/>
        <v>150</v>
      </c>
      <c r="P208" s="1">
        <f t="shared" si="31"/>
        <v>960</v>
      </c>
      <c r="Q208">
        <f t="shared" si="32"/>
        <v>779</v>
      </c>
      <c r="R208">
        <f t="shared" si="33"/>
        <v>669</v>
      </c>
      <c r="S208">
        <f t="shared" si="34"/>
        <v>218.60000000000002</v>
      </c>
      <c r="T208">
        <f t="shared" si="35"/>
        <v>207.4</v>
      </c>
      <c r="U208" s="21">
        <f t="shared" si="39"/>
        <v>0.85879332477535297</v>
      </c>
      <c r="V208" s="21">
        <f t="shared" si="36"/>
        <v>0.9487648673376029</v>
      </c>
      <c r="W208" s="21">
        <f t="shared" si="37"/>
        <v>0.32675635276532139</v>
      </c>
      <c r="X208">
        <f t="shared" si="38"/>
        <v>0.26623876765083437</v>
      </c>
    </row>
    <row r="209" spans="1:24" x14ac:dyDescent="0.3">
      <c r="A209" s="2">
        <v>208</v>
      </c>
      <c r="B209" s="2" t="s">
        <v>3</v>
      </c>
      <c r="C209" s="2">
        <f>Découpe!C209-Découpe!D209-Découpe!E209</f>
        <v>838</v>
      </c>
      <c r="D209" s="13">
        <v>26</v>
      </c>
      <c r="E209" s="13">
        <v>38</v>
      </c>
      <c r="F209" s="14">
        <v>35</v>
      </c>
      <c r="G209" s="14">
        <v>7</v>
      </c>
      <c r="H209" s="15">
        <v>7</v>
      </c>
      <c r="I209" s="14">
        <v>7</v>
      </c>
      <c r="J209" s="15">
        <v>8</v>
      </c>
      <c r="K209" s="14">
        <v>36</v>
      </c>
      <c r="L209" s="14">
        <v>28</v>
      </c>
      <c r="N209" s="15">
        <v>20</v>
      </c>
      <c r="O209" s="16">
        <f t="shared" si="30"/>
        <v>150</v>
      </c>
      <c r="P209" s="1">
        <f t="shared" si="31"/>
        <v>960</v>
      </c>
      <c r="Q209">
        <f t="shared" si="32"/>
        <v>775</v>
      </c>
      <c r="R209">
        <f t="shared" si="33"/>
        <v>662</v>
      </c>
      <c r="S209">
        <f t="shared" si="34"/>
        <v>167.60000000000002</v>
      </c>
      <c r="T209">
        <f t="shared" si="35"/>
        <v>154.80000000000001</v>
      </c>
      <c r="U209" s="21">
        <f t="shared" si="39"/>
        <v>0.85419354838709682</v>
      </c>
      <c r="V209" s="21">
        <f t="shared" si="36"/>
        <v>0.92362768496420045</v>
      </c>
      <c r="W209" s="21">
        <f t="shared" si="37"/>
        <v>0.25317220543806651</v>
      </c>
      <c r="X209">
        <f t="shared" si="38"/>
        <v>0.19974193548387101</v>
      </c>
    </row>
    <row r="210" spans="1:24" x14ac:dyDescent="0.3">
      <c r="A210" s="2">
        <v>209</v>
      </c>
      <c r="B210" s="2" t="s">
        <v>2</v>
      </c>
      <c r="C210" s="2">
        <f>Découpe!C210-Découpe!D210-Découpe!E210</f>
        <v>1041</v>
      </c>
      <c r="D210" s="13">
        <v>19</v>
      </c>
      <c r="E210" s="13">
        <v>26</v>
      </c>
      <c r="F210" s="14">
        <v>31</v>
      </c>
      <c r="G210" s="14">
        <v>16</v>
      </c>
      <c r="H210" s="15">
        <v>6</v>
      </c>
      <c r="I210" s="14">
        <v>6</v>
      </c>
      <c r="J210" s="15">
        <v>5</v>
      </c>
      <c r="K210" s="14">
        <v>21</v>
      </c>
      <c r="L210" s="14">
        <v>32</v>
      </c>
      <c r="N210" s="15">
        <v>16</v>
      </c>
      <c r="O210" s="16">
        <f t="shared" si="30"/>
        <v>150</v>
      </c>
      <c r="P210" s="1">
        <f t="shared" si="31"/>
        <v>960</v>
      </c>
      <c r="Q210">
        <f t="shared" si="32"/>
        <v>783</v>
      </c>
      <c r="R210">
        <f t="shared" si="33"/>
        <v>677</v>
      </c>
      <c r="S210">
        <f t="shared" si="34"/>
        <v>208.20000000000002</v>
      </c>
      <c r="T210">
        <f t="shared" si="35"/>
        <v>199.20000000000002</v>
      </c>
      <c r="U210" s="21">
        <f t="shared" si="39"/>
        <v>0.8646232439335888</v>
      </c>
      <c r="V210" s="21">
        <f t="shared" si="36"/>
        <v>0.95677233429394815</v>
      </c>
      <c r="W210" s="21">
        <f t="shared" si="37"/>
        <v>0.30753323485967504</v>
      </c>
      <c r="X210">
        <f t="shared" si="38"/>
        <v>0.25440613026819925</v>
      </c>
    </row>
    <row r="211" spans="1:24" x14ac:dyDescent="0.3">
      <c r="A211" s="2">
        <v>210</v>
      </c>
      <c r="B211" s="2" t="s">
        <v>4</v>
      </c>
      <c r="C211" s="2">
        <f>Découpe!C211-Découpe!D211-Découpe!E211</f>
        <v>1000</v>
      </c>
      <c r="D211" s="13">
        <v>18</v>
      </c>
      <c r="E211" s="13">
        <v>20</v>
      </c>
      <c r="F211" s="14">
        <v>21</v>
      </c>
      <c r="G211" s="14">
        <v>9</v>
      </c>
      <c r="H211" s="15">
        <v>8</v>
      </c>
      <c r="I211" s="14">
        <v>8</v>
      </c>
      <c r="J211" s="15">
        <v>8</v>
      </c>
      <c r="K211" s="14">
        <v>41</v>
      </c>
      <c r="L211" s="14">
        <v>30</v>
      </c>
      <c r="N211" s="15">
        <v>18</v>
      </c>
      <c r="O211" s="16">
        <f t="shared" si="30"/>
        <v>150</v>
      </c>
      <c r="P211" s="1">
        <f t="shared" si="31"/>
        <v>960</v>
      </c>
      <c r="Q211">
        <f t="shared" si="32"/>
        <v>776</v>
      </c>
      <c r="R211">
        <f t="shared" si="33"/>
        <v>667</v>
      </c>
      <c r="S211">
        <f t="shared" si="34"/>
        <v>200</v>
      </c>
      <c r="T211">
        <f t="shared" si="35"/>
        <v>192.4</v>
      </c>
      <c r="U211" s="21">
        <f t="shared" si="39"/>
        <v>0.85953608247422686</v>
      </c>
      <c r="V211" s="21">
        <f t="shared" si="36"/>
        <v>0.96199999999999997</v>
      </c>
      <c r="W211" s="21">
        <f t="shared" si="37"/>
        <v>0.29985007496251875</v>
      </c>
      <c r="X211">
        <f t="shared" si="38"/>
        <v>0.24793814432989694</v>
      </c>
    </row>
    <row r="212" spans="1:24" x14ac:dyDescent="0.3">
      <c r="A212" s="2">
        <v>211</v>
      </c>
      <c r="B212" s="2" t="s">
        <v>3</v>
      </c>
      <c r="C212" s="2">
        <f>Découpe!C212-Découpe!D212-Découpe!E212</f>
        <v>1169</v>
      </c>
      <c r="D212" s="13">
        <v>22</v>
      </c>
      <c r="E212" s="13">
        <v>28</v>
      </c>
      <c r="F212" s="14">
        <v>26</v>
      </c>
      <c r="G212" s="14">
        <v>6</v>
      </c>
      <c r="H212" s="15">
        <v>9</v>
      </c>
      <c r="I212" s="14">
        <v>9</v>
      </c>
      <c r="J212" s="15">
        <v>9</v>
      </c>
      <c r="K212" s="14">
        <v>48</v>
      </c>
      <c r="L212" s="14">
        <v>16</v>
      </c>
      <c r="N212" s="15">
        <v>20</v>
      </c>
      <c r="O212" s="16">
        <f t="shared" si="30"/>
        <v>150</v>
      </c>
      <c r="P212" s="1">
        <f t="shared" si="31"/>
        <v>960</v>
      </c>
      <c r="Q212">
        <f t="shared" si="32"/>
        <v>772</v>
      </c>
      <c r="R212">
        <f t="shared" si="33"/>
        <v>667</v>
      </c>
      <c r="S212">
        <f t="shared" si="34"/>
        <v>233.8</v>
      </c>
      <c r="T212">
        <f t="shared" si="35"/>
        <v>223.8</v>
      </c>
      <c r="U212" s="21">
        <f t="shared" si="39"/>
        <v>0.86398963730569944</v>
      </c>
      <c r="V212" s="21">
        <f t="shared" si="36"/>
        <v>0.95722840034217282</v>
      </c>
      <c r="W212" s="21">
        <f t="shared" si="37"/>
        <v>0.35052473763118441</v>
      </c>
      <c r="X212">
        <f t="shared" si="38"/>
        <v>0.28989637305699484</v>
      </c>
    </row>
    <row r="213" spans="1:24" x14ac:dyDescent="0.3">
      <c r="A213" s="2">
        <v>212</v>
      </c>
      <c r="B213" s="2" t="s">
        <v>3</v>
      </c>
      <c r="C213" s="2">
        <f>Découpe!C213-Découpe!D213-Découpe!E213</f>
        <v>1024</v>
      </c>
      <c r="D213" s="13">
        <v>19</v>
      </c>
      <c r="E213" s="13">
        <v>27</v>
      </c>
      <c r="F213" s="14">
        <v>27</v>
      </c>
      <c r="G213" s="14">
        <v>9</v>
      </c>
      <c r="H213" s="15">
        <v>14</v>
      </c>
      <c r="I213" s="14">
        <v>13</v>
      </c>
      <c r="J213" s="15">
        <v>8</v>
      </c>
      <c r="L213" s="14">
        <v>23</v>
      </c>
      <c r="N213" s="15">
        <v>17</v>
      </c>
      <c r="O213" s="16">
        <f t="shared" si="30"/>
        <v>150</v>
      </c>
      <c r="P213" s="1">
        <f t="shared" si="31"/>
        <v>960</v>
      </c>
      <c r="Q213">
        <f t="shared" si="32"/>
        <v>771</v>
      </c>
      <c r="R213">
        <f t="shared" si="33"/>
        <v>699</v>
      </c>
      <c r="S213">
        <f t="shared" si="34"/>
        <v>204.8</v>
      </c>
      <c r="T213">
        <f t="shared" si="35"/>
        <v>195.60000000000002</v>
      </c>
      <c r="U213" s="21">
        <f t="shared" si="39"/>
        <v>0.9066147859922179</v>
      </c>
      <c r="V213" s="21">
        <f t="shared" si="36"/>
        <v>0.955078125</v>
      </c>
      <c r="W213" s="21">
        <f t="shared" si="37"/>
        <v>0.29298998569384838</v>
      </c>
      <c r="X213">
        <f t="shared" si="38"/>
        <v>0.25369649805447475</v>
      </c>
    </row>
    <row r="214" spans="1:24" x14ac:dyDescent="0.3">
      <c r="A214" s="2">
        <v>213</v>
      </c>
      <c r="B214" s="2" t="s">
        <v>5</v>
      </c>
      <c r="C214" s="2">
        <f>Découpe!C214-Découpe!D214-Découpe!E214</f>
        <v>1023</v>
      </c>
      <c r="D214" s="13">
        <v>25</v>
      </c>
      <c r="E214" s="13">
        <v>33</v>
      </c>
      <c r="F214" s="14">
        <v>26</v>
      </c>
      <c r="G214" s="14">
        <v>14</v>
      </c>
      <c r="H214" s="15">
        <v>13</v>
      </c>
      <c r="I214" s="14">
        <v>12</v>
      </c>
      <c r="J214" s="15">
        <v>9</v>
      </c>
      <c r="K214" s="14">
        <v>10</v>
      </c>
      <c r="L214" s="14">
        <v>22</v>
      </c>
      <c r="N214" s="15">
        <v>19</v>
      </c>
      <c r="O214" s="16">
        <f t="shared" si="30"/>
        <v>150</v>
      </c>
      <c r="P214" s="1">
        <f t="shared" si="31"/>
        <v>960</v>
      </c>
      <c r="Q214">
        <f t="shared" si="32"/>
        <v>769</v>
      </c>
      <c r="R214">
        <f t="shared" si="33"/>
        <v>685</v>
      </c>
      <c r="S214">
        <f t="shared" si="34"/>
        <v>204.60000000000002</v>
      </c>
      <c r="T214">
        <f t="shared" si="35"/>
        <v>193</v>
      </c>
      <c r="U214" s="21">
        <f t="shared" si="39"/>
        <v>0.89076723016905068</v>
      </c>
      <c r="V214" s="21">
        <f t="shared" si="36"/>
        <v>0.9433040078201369</v>
      </c>
      <c r="W214" s="21">
        <f t="shared" si="37"/>
        <v>0.29868613138686134</v>
      </c>
      <c r="X214">
        <f t="shared" si="38"/>
        <v>0.25097529258777634</v>
      </c>
    </row>
    <row r="215" spans="1:24" x14ac:dyDescent="0.3">
      <c r="A215" s="2">
        <v>214</v>
      </c>
      <c r="B215" s="2" t="s">
        <v>4</v>
      </c>
      <c r="C215" s="2">
        <f>Découpe!C215-Découpe!D215-Découpe!E215</f>
        <v>1033</v>
      </c>
      <c r="D215" s="13">
        <v>25</v>
      </c>
      <c r="E215" s="13">
        <v>23</v>
      </c>
      <c r="F215" s="14">
        <v>22</v>
      </c>
      <c r="G215" s="14">
        <v>16</v>
      </c>
      <c r="H215" s="15">
        <v>6</v>
      </c>
      <c r="I215" s="14">
        <v>5</v>
      </c>
      <c r="J215" s="15">
        <v>9</v>
      </c>
      <c r="K215" s="14">
        <v>31</v>
      </c>
      <c r="L215" s="14">
        <v>24</v>
      </c>
      <c r="N215" s="15">
        <v>15</v>
      </c>
      <c r="O215" s="16">
        <f t="shared" si="30"/>
        <v>150</v>
      </c>
      <c r="P215" s="1">
        <f t="shared" si="31"/>
        <v>960</v>
      </c>
      <c r="Q215">
        <f t="shared" si="32"/>
        <v>780</v>
      </c>
      <c r="R215">
        <f t="shared" si="33"/>
        <v>682</v>
      </c>
      <c r="S215">
        <f t="shared" si="34"/>
        <v>206.60000000000002</v>
      </c>
      <c r="T215">
        <f t="shared" si="35"/>
        <v>197</v>
      </c>
      <c r="U215" s="21">
        <f t="shared" si="39"/>
        <v>0.87435897435897436</v>
      </c>
      <c r="V215" s="21">
        <f t="shared" si="36"/>
        <v>0.95353339787028069</v>
      </c>
      <c r="W215" s="21">
        <f t="shared" si="37"/>
        <v>0.30293255131964814</v>
      </c>
      <c r="X215">
        <f t="shared" si="38"/>
        <v>0.25256410256410261</v>
      </c>
    </row>
    <row r="216" spans="1:24" x14ac:dyDescent="0.3">
      <c r="A216" s="2">
        <v>215</v>
      </c>
      <c r="B216" s="2" t="s">
        <v>3</v>
      </c>
      <c r="C216" s="2">
        <f>Découpe!C216-Découpe!D216-Découpe!E216</f>
        <v>1130</v>
      </c>
      <c r="D216" s="13">
        <v>24</v>
      </c>
      <c r="E216" s="13">
        <v>28</v>
      </c>
      <c r="F216" s="14">
        <v>35</v>
      </c>
      <c r="G216" s="14">
        <v>16</v>
      </c>
      <c r="H216" s="15">
        <v>15</v>
      </c>
      <c r="I216" s="14">
        <v>15</v>
      </c>
      <c r="J216" s="15">
        <v>6</v>
      </c>
      <c r="K216" s="14">
        <v>12</v>
      </c>
      <c r="L216" s="14">
        <v>16</v>
      </c>
      <c r="N216" s="15">
        <v>15</v>
      </c>
      <c r="O216" s="16">
        <f t="shared" si="30"/>
        <v>150</v>
      </c>
      <c r="P216" s="1">
        <f t="shared" si="31"/>
        <v>960</v>
      </c>
      <c r="Q216">
        <f t="shared" si="32"/>
        <v>774</v>
      </c>
      <c r="R216">
        <f t="shared" si="33"/>
        <v>680</v>
      </c>
      <c r="S216">
        <f t="shared" si="34"/>
        <v>226</v>
      </c>
      <c r="T216">
        <f t="shared" si="35"/>
        <v>215.60000000000002</v>
      </c>
      <c r="U216" s="21">
        <f t="shared" si="39"/>
        <v>0.87855297157622736</v>
      </c>
      <c r="V216" s="21">
        <f t="shared" si="36"/>
        <v>0.95398230088495573</v>
      </c>
      <c r="W216" s="21">
        <f t="shared" si="37"/>
        <v>0.33235294117647057</v>
      </c>
      <c r="X216">
        <f t="shared" si="38"/>
        <v>0.27855297157622733</v>
      </c>
    </row>
    <row r="217" spans="1:24" x14ac:dyDescent="0.3">
      <c r="A217" s="2">
        <v>216</v>
      </c>
      <c r="B217" s="2" t="s">
        <v>2</v>
      </c>
      <c r="C217" s="2">
        <f>Découpe!C217-Découpe!D217-Découpe!E217</f>
        <v>971</v>
      </c>
      <c r="D217" s="13">
        <v>19</v>
      </c>
      <c r="E217" s="13">
        <v>28</v>
      </c>
      <c r="F217" s="14">
        <v>31</v>
      </c>
      <c r="G217" s="14">
        <v>8</v>
      </c>
      <c r="H217" s="15">
        <v>9</v>
      </c>
      <c r="I217" s="14">
        <v>9</v>
      </c>
      <c r="J217" s="15">
        <v>5</v>
      </c>
      <c r="K217" s="14">
        <v>33</v>
      </c>
      <c r="L217" s="14">
        <v>16</v>
      </c>
      <c r="N217" s="15">
        <v>15</v>
      </c>
      <c r="O217" s="16">
        <f t="shared" si="30"/>
        <v>150</v>
      </c>
      <c r="P217" s="1">
        <f t="shared" si="31"/>
        <v>960</v>
      </c>
      <c r="Q217">
        <f t="shared" si="32"/>
        <v>781</v>
      </c>
      <c r="R217">
        <f t="shared" si="33"/>
        <v>684</v>
      </c>
      <c r="S217">
        <f t="shared" si="34"/>
        <v>194.20000000000002</v>
      </c>
      <c r="T217">
        <f t="shared" si="35"/>
        <v>184.8</v>
      </c>
      <c r="U217" s="21">
        <f t="shared" si="39"/>
        <v>0.87580025608194623</v>
      </c>
      <c r="V217" s="21">
        <f t="shared" si="36"/>
        <v>0.9515962924819773</v>
      </c>
      <c r="W217" s="21">
        <f t="shared" si="37"/>
        <v>0.28391812865497079</v>
      </c>
      <c r="X217">
        <f t="shared" si="38"/>
        <v>0.23661971830985917</v>
      </c>
    </row>
    <row r="218" spans="1:24" x14ac:dyDescent="0.3">
      <c r="A218" s="2">
        <v>217</v>
      </c>
      <c r="B218" s="2" t="s">
        <v>4</v>
      </c>
      <c r="C218" s="2">
        <f>Découpe!C218-Découpe!D218-Découpe!E218</f>
        <v>890</v>
      </c>
      <c r="D218" s="13">
        <v>25</v>
      </c>
      <c r="E218" s="13">
        <v>25</v>
      </c>
      <c r="F218" s="14">
        <v>41</v>
      </c>
      <c r="G218" s="14">
        <v>6</v>
      </c>
      <c r="H218" s="15">
        <v>7</v>
      </c>
      <c r="I218" s="14">
        <v>7</v>
      </c>
      <c r="J218" s="15">
        <v>5</v>
      </c>
      <c r="K218" s="14">
        <v>24</v>
      </c>
      <c r="L218" s="14">
        <v>21</v>
      </c>
      <c r="N218" s="15">
        <v>16</v>
      </c>
      <c r="O218" s="16">
        <f t="shared" si="30"/>
        <v>150</v>
      </c>
      <c r="P218" s="1">
        <f t="shared" si="31"/>
        <v>960</v>
      </c>
      <c r="Q218">
        <f t="shared" si="32"/>
        <v>782</v>
      </c>
      <c r="R218">
        <f t="shared" si="33"/>
        <v>683</v>
      </c>
      <c r="S218">
        <f t="shared" si="34"/>
        <v>178</v>
      </c>
      <c r="T218">
        <f t="shared" si="35"/>
        <v>168</v>
      </c>
      <c r="U218" s="21">
        <f t="shared" si="39"/>
        <v>0.87340153452685421</v>
      </c>
      <c r="V218" s="21">
        <f t="shared" si="36"/>
        <v>0.9438202247191011</v>
      </c>
      <c r="W218" s="21">
        <f t="shared" si="37"/>
        <v>0.26061493411420206</v>
      </c>
      <c r="X218">
        <f t="shared" si="38"/>
        <v>0.21483375959079284</v>
      </c>
    </row>
    <row r="219" spans="1:24" x14ac:dyDescent="0.3">
      <c r="A219" s="2">
        <v>218</v>
      </c>
      <c r="B219" s="2" t="s">
        <v>3</v>
      </c>
      <c r="C219" s="2">
        <f>Découpe!C219-Découpe!D219-Découpe!E219</f>
        <v>1159</v>
      </c>
      <c r="D219" s="13">
        <v>20</v>
      </c>
      <c r="E219" s="13">
        <v>29</v>
      </c>
      <c r="F219" s="14">
        <v>37</v>
      </c>
      <c r="G219" s="14">
        <v>15</v>
      </c>
      <c r="H219" s="15">
        <v>9</v>
      </c>
      <c r="I219" s="14">
        <v>9</v>
      </c>
      <c r="J219" s="15">
        <v>9</v>
      </c>
      <c r="K219" s="14">
        <v>43</v>
      </c>
      <c r="L219" s="14">
        <v>16</v>
      </c>
      <c r="N219" s="15">
        <v>16</v>
      </c>
      <c r="O219" s="16">
        <f t="shared" si="30"/>
        <v>150</v>
      </c>
      <c r="P219" s="1">
        <f t="shared" si="31"/>
        <v>960</v>
      </c>
      <c r="Q219">
        <f t="shared" si="32"/>
        <v>776</v>
      </c>
      <c r="R219">
        <f t="shared" si="33"/>
        <v>656</v>
      </c>
      <c r="S219">
        <f t="shared" si="34"/>
        <v>231.8</v>
      </c>
      <c r="T219">
        <f t="shared" si="35"/>
        <v>222</v>
      </c>
      <c r="U219" s="21">
        <f t="shared" si="39"/>
        <v>0.84536082474226804</v>
      </c>
      <c r="V219" s="21">
        <f t="shared" si="36"/>
        <v>0.95772217428817952</v>
      </c>
      <c r="W219" s="21">
        <f t="shared" si="37"/>
        <v>0.3533536585365854</v>
      </c>
      <c r="X219">
        <f t="shared" si="38"/>
        <v>0.28608247422680416</v>
      </c>
    </row>
    <row r="220" spans="1:24" x14ac:dyDescent="0.3">
      <c r="A220" s="2">
        <v>219</v>
      </c>
      <c r="B220" s="2" t="s">
        <v>5</v>
      </c>
      <c r="C220" s="2">
        <f>Découpe!C220-Découpe!D220-Découpe!E220</f>
        <v>951</v>
      </c>
      <c r="D220" s="13">
        <v>28</v>
      </c>
      <c r="E220" s="13">
        <v>23</v>
      </c>
      <c r="F220" s="14">
        <v>17</v>
      </c>
      <c r="G220" s="14">
        <v>11</v>
      </c>
      <c r="H220" s="15">
        <v>9</v>
      </c>
      <c r="I220" s="14">
        <v>9</v>
      </c>
      <c r="J220" s="15">
        <v>9</v>
      </c>
      <c r="K220" s="14">
        <v>17</v>
      </c>
      <c r="L220" s="14">
        <v>18</v>
      </c>
      <c r="N220" s="15">
        <v>15</v>
      </c>
      <c r="O220" s="16">
        <f t="shared" si="30"/>
        <v>150</v>
      </c>
      <c r="P220" s="1">
        <f t="shared" si="31"/>
        <v>960</v>
      </c>
      <c r="Q220">
        <f t="shared" si="32"/>
        <v>777</v>
      </c>
      <c r="R220">
        <f t="shared" si="33"/>
        <v>705</v>
      </c>
      <c r="S220">
        <f t="shared" si="34"/>
        <v>190.20000000000002</v>
      </c>
      <c r="T220">
        <f t="shared" si="35"/>
        <v>180</v>
      </c>
      <c r="U220" s="21">
        <f t="shared" si="39"/>
        <v>0.9073359073359073</v>
      </c>
      <c r="V220" s="21">
        <f t="shared" si="36"/>
        <v>0.94637223974763407</v>
      </c>
      <c r="W220" s="21">
        <f t="shared" si="37"/>
        <v>0.26978723404255323</v>
      </c>
      <c r="X220">
        <f t="shared" si="38"/>
        <v>0.2316602316602317</v>
      </c>
    </row>
    <row r="221" spans="1:24" x14ac:dyDescent="0.3">
      <c r="A221" s="2">
        <v>220</v>
      </c>
      <c r="B221" s="2" t="s">
        <v>4</v>
      </c>
      <c r="C221" s="2">
        <f>Découpe!C221-Découpe!D221-Découpe!E221</f>
        <v>1023</v>
      </c>
      <c r="D221" s="13">
        <v>23</v>
      </c>
      <c r="E221" s="13">
        <v>34</v>
      </c>
      <c r="F221" s="14">
        <v>26</v>
      </c>
      <c r="G221" s="14">
        <v>10</v>
      </c>
      <c r="H221" s="15">
        <v>5</v>
      </c>
      <c r="I221" s="14">
        <v>4</v>
      </c>
      <c r="J221" s="15">
        <v>9</v>
      </c>
      <c r="K221" s="14">
        <v>13</v>
      </c>
      <c r="L221" s="14">
        <v>23</v>
      </c>
      <c r="N221" s="15">
        <v>18</v>
      </c>
      <c r="O221" s="16">
        <f t="shared" si="30"/>
        <v>150</v>
      </c>
      <c r="P221" s="1">
        <f t="shared" si="31"/>
        <v>960</v>
      </c>
      <c r="Q221">
        <f t="shared" si="32"/>
        <v>778</v>
      </c>
      <c r="R221">
        <f t="shared" si="33"/>
        <v>702</v>
      </c>
      <c r="S221">
        <f t="shared" si="34"/>
        <v>204.60000000000002</v>
      </c>
      <c r="T221">
        <f t="shared" si="35"/>
        <v>193.20000000000002</v>
      </c>
      <c r="U221" s="21">
        <f t="shared" si="39"/>
        <v>0.90231362467866327</v>
      </c>
      <c r="V221" s="21">
        <f t="shared" si="36"/>
        <v>0.94428152492668627</v>
      </c>
      <c r="W221" s="21">
        <f t="shared" si="37"/>
        <v>0.29145299145299147</v>
      </c>
      <c r="X221">
        <f t="shared" si="38"/>
        <v>0.24832904884318771</v>
      </c>
    </row>
    <row r="222" spans="1:24" x14ac:dyDescent="0.3">
      <c r="A222" s="2">
        <v>221</v>
      </c>
      <c r="B222" s="2" t="s">
        <v>3</v>
      </c>
      <c r="C222" s="2">
        <f>Découpe!C222-Découpe!D222-Découpe!E222</f>
        <v>1141</v>
      </c>
      <c r="D222" s="13">
        <v>25</v>
      </c>
      <c r="E222" s="13">
        <v>39</v>
      </c>
      <c r="F222" s="14">
        <v>32</v>
      </c>
      <c r="G222" s="14">
        <v>15</v>
      </c>
      <c r="H222" s="15">
        <v>6</v>
      </c>
      <c r="I222" s="14">
        <v>6</v>
      </c>
      <c r="J222" s="15">
        <v>8</v>
      </c>
      <c r="K222" s="14">
        <v>14</v>
      </c>
      <c r="L222" s="14">
        <v>27</v>
      </c>
      <c r="N222" s="15">
        <v>19</v>
      </c>
      <c r="O222" s="16">
        <f t="shared" si="30"/>
        <v>150</v>
      </c>
      <c r="P222" s="1">
        <f t="shared" si="31"/>
        <v>960</v>
      </c>
      <c r="Q222">
        <f t="shared" si="32"/>
        <v>777</v>
      </c>
      <c r="R222">
        <f t="shared" si="33"/>
        <v>683</v>
      </c>
      <c r="S222">
        <f t="shared" si="34"/>
        <v>228.20000000000002</v>
      </c>
      <c r="T222">
        <f t="shared" si="35"/>
        <v>215.4</v>
      </c>
      <c r="U222" s="21">
        <f t="shared" si="39"/>
        <v>0.879021879021879</v>
      </c>
      <c r="V222" s="21">
        <f t="shared" si="36"/>
        <v>0.94390885188431206</v>
      </c>
      <c r="W222" s="21">
        <f t="shared" si="37"/>
        <v>0.33411420204978043</v>
      </c>
      <c r="X222">
        <f t="shared" si="38"/>
        <v>0.27722007722007724</v>
      </c>
    </row>
    <row r="223" spans="1:24" x14ac:dyDescent="0.3">
      <c r="A223" s="2">
        <v>222</v>
      </c>
      <c r="B223" s="2" t="s">
        <v>2</v>
      </c>
      <c r="C223" s="2">
        <f>Découpe!C223-Découpe!D223-Découpe!E223</f>
        <v>865</v>
      </c>
      <c r="D223" s="13">
        <v>20</v>
      </c>
      <c r="E223" s="13">
        <v>31</v>
      </c>
      <c r="F223" s="14">
        <v>27</v>
      </c>
      <c r="G223" s="14">
        <v>9</v>
      </c>
      <c r="H223" s="15">
        <v>8</v>
      </c>
      <c r="I223" s="14">
        <v>7</v>
      </c>
      <c r="J223" s="15">
        <v>6</v>
      </c>
      <c r="K223" s="14">
        <v>36</v>
      </c>
      <c r="L223" s="14">
        <v>21</v>
      </c>
      <c r="N223" s="15">
        <v>18</v>
      </c>
      <c r="O223" s="16">
        <f t="shared" si="30"/>
        <v>150</v>
      </c>
      <c r="P223" s="1">
        <f t="shared" si="31"/>
        <v>960</v>
      </c>
      <c r="Q223">
        <f t="shared" si="32"/>
        <v>778</v>
      </c>
      <c r="R223">
        <f t="shared" si="33"/>
        <v>678</v>
      </c>
      <c r="S223">
        <f t="shared" si="34"/>
        <v>173</v>
      </c>
      <c r="T223">
        <f t="shared" si="35"/>
        <v>162.80000000000001</v>
      </c>
      <c r="U223" s="21">
        <f t="shared" si="39"/>
        <v>0.87146529562982</v>
      </c>
      <c r="V223" s="21">
        <f t="shared" si="36"/>
        <v>0.94104046242774564</v>
      </c>
      <c r="W223" s="21">
        <f t="shared" si="37"/>
        <v>0.25516224188790559</v>
      </c>
      <c r="X223">
        <f t="shared" si="38"/>
        <v>0.20925449871465293</v>
      </c>
    </row>
    <row r="224" spans="1:24" x14ac:dyDescent="0.3">
      <c r="A224" s="2">
        <v>223</v>
      </c>
      <c r="B224" s="2" t="s">
        <v>5</v>
      </c>
      <c r="C224" s="2">
        <f>Découpe!C224-Découpe!D224-Découpe!E224</f>
        <v>1011</v>
      </c>
      <c r="D224" s="13">
        <v>22</v>
      </c>
      <c r="E224" s="13">
        <v>30</v>
      </c>
      <c r="F224" s="14">
        <v>23</v>
      </c>
      <c r="G224" s="14">
        <v>11</v>
      </c>
      <c r="H224" s="15">
        <v>6</v>
      </c>
      <c r="I224" s="14">
        <v>6</v>
      </c>
      <c r="J224" s="15">
        <v>6</v>
      </c>
      <c r="K224" s="14">
        <v>22</v>
      </c>
      <c r="L224" s="14">
        <v>23</v>
      </c>
      <c r="N224" s="15">
        <v>18</v>
      </c>
      <c r="O224" s="16">
        <f t="shared" si="30"/>
        <v>150</v>
      </c>
      <c r="P224" s="1">
        <f t="shared" si="31"/>
        <v>960</v>
      </c>
      <c r="Q224">
        <f t="shared" si="32"/>
        <v>780</v>
      </c>
      <c r="R224">
        <f t="shared" si="33"/>
        <v>695</v>
      </c>
      <c r="S224">
        <f t="shared" si="34"/>
        <v>202.20000000000002</v>
      </c>
      <c r="T224">
        <f t="shared" si="35"/>
        <v>191.8</v>
      </c>
      <c r="U224" s="21">
        <f t="shared" si="39"/>
        <v>0.89102564102564108</v>
      </c>
      <c r="V224" s="21">
        <f t="shared" si="36"/>
        <v>0.94856577645895157</v>
      </c>
      <c r="W224" s="21">
        <f t="shared" si="37"/>
        <v>0.29093525179856117</v>
      </c>
      <c r="X224">
        <f t="shared" si="38"/>
        <v>0.24589743589743593</v>
      </c>
    </row>
    <row r="225" spans="1:24" x14ac:dyDescent="0.3">
      <c r="A225" s="2">
        <v>224</v>
      </c>
      <c r="B225" s="2" t="s">
        <v>2</v>
      </c>
      <c r="C225" s="2">
        <f>Découpe!C225-Découpe!D225-Découpe!E225</f>
        <v>1062</v>
      </c>
      <c r="D225" s="13">
        <v>18</v>
      </c>
      <c r="E225" s="13">
        <v>31</v>
      </c>
      <c r="F225" s="14">
        <v>36</v>
      </c>
      <c r="G225" s="14">
        <v>11</v>
      </c>
      <c r="H225" s="15">
        <v>8</v>
      </c>
      <c r="I225" s="14">
        <v>8</v>
      </c>
      <c r="J225" s="15">
        <v>8</v>
      </c>
      <c r="K225" s="14">
        <v>43</v>
      </c>
      <c r="L225" s="14">
        <v>27</v>
      </c>
      <c r="N225" s="15">
        <v>18</v>
      </c>
      <c r="O225" s="16">
        <f t="shared" si="30"/>
        <v>150</v>
      </c>
      <c r="P225" s="1">
        <f t="shared" si="31"/>
        <v>960</v>
      </c>
      <c r="Q225">
        <f t="shared" si="32"/>
        <v>776</v>
      </c>
      <c r="R225">
        <f t="shared" si="33"/>
        <v>651</v>
      </c>
      <c r="S225">
        <f t="shared" si="34"/>
        <v>212.4</v>
      </c>
      <c r="T225">
        <f t="shared" si="35"/>
        <v>202.60000000000002</v>
      </c>
      <c r="U225" s="21">
        <f t="shared" si="39"/>
        <v>0.83891752577319589</v>
      </c>
      <c r="V225" s="21">
        <f t="shared" si="36"/>
        <v>0.95386064030131823</v>
      </c>
      <c r="W225" s="21">
        <f t="shared" si="37"/>
        <v>0.32626728110599079</v>
      </c>
      <c r="X225">
        <f t="shared" si="38"/>
        <v>0.26108247422680414</v>
      </c>
    </row>
    <row r="226" spans="1:24" x14ac:dyDescent="0.3">
      <c r="A226" s="2">
        <v>225</v>
      </c>
      <c r="B226" s="2" t="s">
        <v>3</v>
      </c>
      <c r="C226" s="2">
        <f>Découpe!C226-Découpe!D226-Découpe!E226</f>
        <v>927</v>
      </c>
      <c r="D226" s="13">
        <v>21</v>
      </c>
      <c r="E226" s="13">
        <v>25</v>
      </c>
      <c r="F226" s="14">
        <v>29</v>
      </c>
      <c r="G226" s="14">
        <v>8</v>
      </c>
      <c r="H226" s="15">
        <v>9</v>
      </c>
      <c r="I226" s="14">
        <v>8</v>
      </c>
      <c r="J226" s="15">
        <v>6</v>
      </c>
      <c r="K226" s="14">
        <v>12</v>
      </c>
      <c r="L226" s="14">
        <v>22</v>
      </c>
      <c r="N226" s="15">
        <v>15</v>
      </c>
      <c r="O226" s="16">
        <f t="shared" si="30"/>
        <v>150</v>
      </c>
      <c r="P226" s="1">
        <f t="shared" si="31"/>
        <v>960</v>
      </c>
      <c r="Q226">
        <f t="shared" si="32"/>
        <v>780</v>
      </c>
      <c r="R226">
        <f t="shared" si="33"/>
        <v>701</v>
      </c>
      <c r="S226">
        <f t="shared" si="34"/>
        <v>185.4</v>
      </c>
      <c r="T226">
        <f t="shared" si="35"/>
        <v>176.20000000000002</v>
      </c>
      <c r="U226" s="21">
        <f t="shared" si="39"/>
        <v>0.89871794871794874</v>
      </c>
      <c r="V226" s="21">
        <f t="shared" si="36"/>
        <v>0.95037756202804746</v>
      </c>
      <c r="W226" s="21">
        <f t="shared" si="37"/>
        <v>0.26447931526390872</v>
      </c>
      <c r="X226">
        <f t="shared" si="38"/>
        <v>0.22589743589743594</v>
      </c>
    </row>
    <row r="227" spans="1:24" x14ac:dyDescent="0.3">
      <c r="A227" s="2">
        <v>226</v>
      </c>
      <c r="B227" s="2" t="s">
        <v>3</v>
      </c>
      <c r="C227" s="2">
        <f>Découpe!C227-Découpe!D227-Découpe!E227</f>
        <v>1099</v>
      </c>
      <c r="D227" s="13">
        <v>20</v>
      </c>
      <c r="E227" s="13">
        <v>25</v>
      </c>
      <c r="F227" s="14">
        <v>19</v>
      </c>
      <c r="G227" s="14">
        <v>6</v>
      </c>
      <c r="H227" s="15">
        <v>6</v>
      </c>
      <c r="I227" s="14">
        <v>6</v>
      </c>
      <c r="J227" s="15">
        <v>9</v>
      </c>
      <c r="L227" s="14">
        <v>24</v>
      </c>
      <c r="M227" s="15">
        <v>60</v>
      </c>
      <c r="N227" s="15">
        <v>17</v>
      </c>
      <c r="O227" s="16">
        <f t="shared" si="30"/>
        <v>150</v>
      </c>
      <c r="P227" s="1">
        <f t="shared" si="31"/>
        <v>960</v>
      </c>
      <c r="Q227">
        <f t="shared" si="32"/>
        <v>718</v>
      </c>
      <c r="R227">
        <f t="shared" si="33"/>
        <v>663</v>
      </c>
      <c r="S227">
        <f t="shared" si="34"/>
        <v>219.8</v>
      </c>
      <c r="T227">
        <f t="shared" si="35"/>
        <v>210.8</v>
      </c>
      <c r="U227" s="21">
        <f t="shared" si="39"/>
        <v>0.92339832869080785</v>
      </c>
      <c r="V227" s="21">
        <f t="shared" si="36"/>
        <v>0.95905368516833489</v>
      </c>
      <c r="W227" s="21">
        <f t="shared" si="37"/>
        <v>0.33152337858220216</v>
      </c>
      <c r="X227">
        <f t="shared" si="38"/>
        <v>0.29359331476323125</v>
      </c>
    </row>
    <row r="228" spans="1:24" x14ac:dyDescent="0.3">
      <c r="A228" s="2">
        <v>227</v>
      </c>
      <c r="B228" s="2" t="s">
        <v>5</v>
      </c>
      <c r="C228" s="2">
        <f>Découpe!C228-Découpe!D228-Découpe!E228</f>
        <v>986</v>
      </c>
      <c r="D228" s="13">
        <v>25</v>
      </c>
      <c r="E228" s="13">
        <v>33</v>
      </c>
      <c r="F228" s="14">
        <v>33</v>
      </c>
      <c r="G228" s="14">
        <v>12</v>
      </c>
      <c r="H228" s="15">
        <v>15</v>
      </c>
      <c r="I228" s="14">
        <v>15</v>
      </c>
      <c r="J228" s="15">
        <v>6</v>
      </c>
      <c r="K228" s="14">
        <v>29</v>
      </c>
      <c r="L228" s="14">
        <v>17</v>
      </c>
      <c r="N228" s="15">
        <v>19</v>
      </c>
      <c r="O228" s="16">
        <f t="shared" si="30"/>
        <v>150</v>
      </c>
      <c r="P228" s="1">
        <f t="shared" si="31"/>
        <v>960</v>
      </c>
      <c r="Q228">
        <f t="shared" si="32"/>
        <v>770</v>
      </c>
      <c r="R228">
        <f t="shared" si="33"/>
        <v>664</v>
      </c>
      <c r="S228">
        <f t="shared" si="34"/>
        <v>197.20000000000002</v>
      </c>
      <c r="T228">
        <f t="shared" si="35"/>
        <v>185.60000000000002</v>
      </c>
      <c r="U228" s="21">
        <f t="shared" si="39"/>
        <v>0.86233766233766229</v>
      </c>
      <c r="V228" s="21">
        <f t="shared" si="36"/>
        <v>0.94117647058823528</v>
      </c>
      <c r="W228" s="21">
        <f t="shared" si="37"/>
        <v>0.29698795180722892</v>
      </c>
      <c r="X228">
        <f t="shared" si="38"/>
        <v>0.24103896103896105</v>
      </c>
    </row>
    <row r="229" spans="1:24" x14ac:dyDescent="0.3">
      <c r="A229" s="2">
        <v>228</v>
      </c>
      <c r="B229" s="2" t="s">
        <v>2</v>
      </c>
      <c r="C229" s="2">
        <f>Découpe!C229-Découpe!D229-Découpe!E229</f>
        <v>1034</v>
      </c>
      <c r="D229" s="13">
        <v>22</v>
      </c>
      <c r="E229" s="13">
        <v>34</v>
      </c>
      <c r="F229" s="14">
        <v>18</v>
      </c>
      <c r="G229" s="14">
        <v>9</v>
      </c>
      <c r="H229" s="15">
        <v>13</v>
      </c>
      <c r="I229" s="14">
        <v>13</v>
      </c>
      <c r="J229" s="15">
        <v>7</v>
      </c>
      <c r="K229" s="14">
        <v>48</v>
      </c>
      <c r="L229" s="14">
        <v>28</v>
      </c>
      <c r="N229" s="15">
        <v>18</v>
      </c>
      <c r="O229" s="16">
        <f t="shared" si="30"/>
        <v>150</v>
      </c>
      <c r="P229" s="1">
        <f t="shared" si="31"/>
        <v>960</v>
      </c>
      <c r="Q229">
        <f t="shared" si="32"/>
        <v>772</v>
      </c>
      <c r="R229">
        <f t="shared" si="33"/>
        <v>656</v>
      </c>
      <c r="S229">
        <f t="shared" si="34"/>
        <v>206.8</v>
      </c>
      <c r="T229">
        <f t="shared" si="35"/>
        <v>195.60000000000002</v>
      </c>
      <c r="U229" s="21">
        <f t="shared" si="39"/>
        <v>0.84974093264248707</v>
      </c>
      <c r="V229" s="21">
        <f t="shared" si="36"/>
        <v>0.9458413926499033</v>
      </c>
      <c r="W229" s="21">
        <f t="shared" si="37"/>
        <v>0.31524390243902439</v>
      </c>
      <c r="X229">
        <f t="shared" si="38"/>
        <v>0.25336787564766838</v>
      </c>
    </row>
    <row r="230" spans="1:24" x14ac:dyDescent="0.3">
      <c r="A230" s="2">
        <v>229</v>
      </c>
      <c r="B230" s="2" t="s">
        <v>4</v>
      </c>
      <c r="C230" s="2">
        <f>Découpe!C230-Découpe!D230-Découpe!E230</f>
        <v>999</v>
      </c>
      <c r="D230" s="13">
        <v>16</v>
      </c>
      <c r="E230" s="13">
        <v>24</v>
      </c>
      <c r="F230" s="14">
        <v>30</v>
      </c>
      <c r="G230" s="14">
        <v>14</v>
      </c>
      <c r="H230" s="15">
        <v>11</v>
      </c>
      <c r="I230" s="14">
        <v>11</v>
      </c>
      <c r="J230" s="15">
        <v>6</v>
      </c>
      <c r="K230" s="14">
        <v>42</v>
      </c>
      <c r="L230" s="14">
        <v>21</v>
      </c>
      <c r="N230" s="15">
        <v>15</v>
      </c>
      <c r="O230" s="16">
        <f t="shared" si="30"/>
        <v>150</v>
      </c>
      <c r="P230" s="1">
        <f t="shared" si="31"/>
        <v>960</v>
      </c>
      <c r="Q230">
        <f t="shared" si="32"/>
        <v>778</v>
      </c>
      <c r="R230">
        <f t="shared" si="33"/>
        <v>660</v>
      </c>
      <c r="S230">
        <f t="shared" si="34"/>
        <v>199.8</v>
      </c>
      <c r="T230">
        <f t="shared" si="35"/>
        <v>191.8</v>
      </c>
      <c r="U230" s="21">
        <f t="shared" si="39"/>
        <v>0.84832904884318761</v>
      </c>
      <c r="V230" s="21">
        <f t="shared" si="36"/>
        <v>0.95995995995995997</v>
      </c>
      <c r="W230" s="21">
        <f t="shared" si="37"/>
        <v>0.30272727272727273</v>
      </c>
      <c r="X230">
        <f t="shared" si="38"/>
        <v>0.24652956298200512</v>
      </c>
    </row>
    <row r="231" spans="1:24" x14ac:dyDescent="0.3">
      <c r="A231" s="2">
        <v>230</v>
      </c>
      <c r="B231" s="2" t="s">
        <v>3</v>
      </c>
      <c r="C231" s="2">
        <f>Découpe!C231-Découpe!D231-Découpe!E231</f>
        <v>1004</v>
      </c>
      <c r="D231" s="13">
        <v>15</v>
      </c>
      <c r="E231" s="13">
        <v>34</v>
      </c>
      <c r="F231" s="14">
        <v>29</v>
      </c>
      <c r="G231" s="14">
        <v>5</v>
      </c>
      <c r="H231" s="15">
        <v>7</v>
      </c>
      <c r="I231" s="14">
        <v>7</v>
      </c>
      <c r="J231" s="15">
        <v>5</v>
      </c>
      <c r="K231" s="14">
        <v>38</v>
      </c>
      <c r="L231" s="14">
        <v>34</v>
      </c>
      <c r="N231" s="15">
        <v>19</v>
      </c>
      <c r="O231" s="16">
        <f t="shared" si="30"/>
        <v>150</v>
      </c>
      <c r="P231" s="1">
        <f t="shared" si="31"/>
        <v>960</v>
      </c>
      <c r="Q231">
        <f t="shared" si="32"/>
        <v>779</v>
      </c>
      <c r="R231">
        <f t="shared" si="33"/>
        <v>666</v>
      </c>
      <c r="S231">
        <f t="shared" si="34"/>
        <v>200.8</v>
      </c>
      <c r="T231">
        <f t="shared" si="35"/>
        <v>191</v>
      </c>
      <c r="U231" s="21">
        <f t="shared" si="39"/>
        <v>0.85494223363286259</v>
      </c>
      <c r="V231" s="21">
        <f t="shared" si="36"/>
        <v>0.95119521912350602</v>
      </c>
      <c r="W231" s="21">
        <f t="shared" si="37"/>
        <v>0.30150150150150151</v>
      </c>
      <c r="X231">
        <f t="shared" si="38"/>
        <v>0.24518613607188705</v>
      </c>
    </row>
    <row r="232" spans="1:24" x14ac:dyDescent="0.3">
      <c r="A232" s="2">
        <v>231</v>
      </c>
      <c r="B232" s="2" t="s">
        <v>3</v>
      </c>
      <c r="C232" s="2">
        <f>Découpe!C232-Découpe!D232-Découpe!E232</f>
        <v>1024</v>
      </c>
      <c r="D232" s="13">
        <v>24</v>
      </c>
      <c r="E232" s="13">
        <v>23</v>
      </c>
      <c r="F232" s="14">
        <v>24</v>
      </c>
      <c r="G232" s="14">
        <v>13</v>
      </c>
      <c r="H232" s="15">
        <v>10</v>
      </c>
      <c r="I232" s="14">
        <v>9</v>
      </c>
      <c r="J232" s="15">
        <v>8</v>
      </c>
      <c r="L232" s="14">
        <v>19</v>
      </c>
      <c r="N232" s="15">
        <v>16</v>
      </c>
      <c r="O232" s="16">
        <f t="shared" si="30"/>
        <v>150</v>
      </c>
      <c r="P232" s="1">
        <f t="shared" si="31"/>
        <v>960</v>
      </c>
      <c r="Q232">
        <f t="shared" si="32"/>
        <v>776</v>
      </c>
      <c r="R232">
        <f t="shared" si="33"/>
        <v>711</v>
      </c>
      <c r="S232">
        <f t="shared" si="34"/>
        <v>204.8</v>
      </c>
      <c r="T232">
        <f t="shared" si="35"/>
        <v>195.4</v>
      </c>
      <c r="U232" s="21">
        <f t="shared" si="39"/>
        <v>0.91623711340206182</v>
      </c>
      <c r="V232" s="21">
        <f t="shared" si="36"/>
        <v>0.9541015625</v>
      </c>
      <c r="W232" s="21">
        <f t="shared" si="37"/>
        <v>0.28804500703234881</v>
      </c>
      <c r="X232">
        <f t="shared" si="38"/>
        <v>0.2518041237113402</v>
      </c>
    </row>
    <row r="233" spans="1:24" x14ac:dyDescent="0.3">
      <c r="A233" s="2">
        <v>232</v>
      </c>
      <c r="B233" s="2" t="s">
        <v>3</v>
      </c>
      <c r="C233" s="2">
        <f>Découpe!C233-Découpe!D233-Découpe!E233</f>
        <v>1115</v>
      </c>
      <c r="D233" s="13">
        <v>17</v>
      </c>
      <c r="E233" s="13">
        <v>21</v>
      </c>
      <c r="F233" s="14">
        <v>32</v>
      </c>
      <c r="G233" s="14">
        <v>10</v>
      </c>
      <c r="H233" s="15">
        <v>9</v>
      </c>
      <c r="I233" s="14">
        <v>9</v>
      </c>
      <c r="J233" s="15">
        <v>5</v>
      </c>
      <c r="L233" s="14">
        <v>23</v>
      </c>
      <c r="N233" s="15">
        <v>19</v>
      </c>
      <c r="O233" s="16">
        <f t="shared" si="30"/>
        <v>150</v>
      </c>
      <c r="P233" s="1">
        <f t="shared" si="31"/>
        <v>960</v>
      </c>
      <c r="Q233">
        <f t="shared" si="32"/>
        <v>777</v>
      </c>
      <c r="R233">
        <f t="shared" si="33"/>
        <v>703</v>
      </c>
      <c r="S233">
        <f t="shared" si="34"/>
        <v>223</v>
      </c>
      <c r="T233">
        <f t="shared" si="35"/>
        <v>215.4</v>
      </c>
      <c r="U233" s="21">
        <f t="shared" si="39"/>
        <v>0.90476190476190477</v>
      </c>
      <c r="V233" s="21">
        <f t="shared" si="36"/>
        <v>0.96591928251121073</v>
      </c>
      <c r="W233" s="21">
        <f t="shared" si="37"/>
        <v>0.31721194879089615</v>
      </c>
      <c r="X233">
        <f t="shared" si="38"/>
        <v>0.27722007722007719</v>
      </c>
    </row>
    <row r="234" spans="1:24" x14ac:dyDescent="0.3">
      <c r="A234" s="2">
        <v>233</v>
      </c>
      <c r="B234" s="2" t="s">
        <v>2</v>
      </c>
      <c r="C234" s="2">
        <f>Découpe!C234-Découpe!D234-Découpe!E234</f>
        <v>938</v>
      </c>
      <c r="D234" s="13">
        <v>24</v>
      </c>
      <c r="E234" s="13">
        <v>23</v>
      </c>
      <c r="F234" s="14">
        <v>28</v>
      </c>
      <c r="G234" s="14">
        <v>11</v>
      </c>
      <c r="H234" s="15">
        <v>15</v>
      </c>
      <c r="I234" s="14">
        <v>15</v>
      </c>
      <c r="J234" s="15">
        <v>6</v>
      </c>
      <c r="K234" s="14">
        <v>18</v>
      </c>
      <c r="L234" s="14">
        <v>28</v>
      </c>
      <c r="N234" s="15">
        <v>16</v>
      </c>
      <c r="O234" s="16">
        <f t="shared" si="30"/>
        <v>150</v>
      </c>
      <c r="P234" s="1">
        <f t="shared" si="31"/>
        <v>960</v>
      </c>
      <c r="Q234">
        <f t="shared" si="32"/>
        <v>773</v>
      </c>
      <c r="R234">
        <f t="shared" si="33"/>
        <v>673</v>
      </c>
      <c r="S234">
        <f t="shared" si="34"/>
        <v>187.60000000000002</v>
      </c>
      <c r="T234">
        <f t="shared" si="35"/>
        <v>178.20000000000002</v>
      </c>
      <c r="U234" s="21">
        <f t="shared" si="39"/>
        <v>0.87063389391979307</v>
      </c>
      <c r="V234" s="21">
        <f t="shared" si="36"/>
        <v>0.94989339019189767</v>
      </c>
      <c r="W234" s="21">
        <f t="shared" si="37"/>
        <v>0.27875185735512631</v>
      </c>
      <c r="X234">
        <f t="shared" si="38"/>
        <v>0.23053040103492889</v>
      </c>
    </row>
    <row r="235" spans="1:24" x14ac:dyDescent="0.3">
      <c r="A235" s="2">
        <v>234</v>
      </c>
      <c r="B235" s="2" t="s">
        <v>4</v>
      </c>
      <c r="C235" s="2">
        <f>Découpe!C235-Découpe!D235-Découpe!E235</f>
        <v>839</v>
      </c>
      <c r="D235" s="13">
        <v>19</v>
      </c>
      <c r="E235" s="13">
        <v>40</v>
      </c>
      <c r="F235" s="14">
        <v>35</v>
      </c>
      <c r="G235" s="14">
        <v>10</v>
      </c>
      <c r="H235" s="15">
        <v>7</v>
      </c>
      <c r="I235" s="14">
        <v>6</v>
      </c>
      <c r="J235" s="15">
        <v>8</v>
      </c>
      <c r="K235" s="14">
        <v>41</v>
      </c>
      <c r="L235" s="14">
        <v>22</v>
      </c>
      <c r="N235" s="15">
        <v>20</v>
      </c>
      <c r="O235" s="16">
        <f t="shared" si="30"/>
        <v>150</v>
      </c>
      <c r="P235" s="1">
        <f t="shared" si="31"/>
        <v>960</v>
      </c>
      <c r="Q235">
        <f t="shared" si="32"/>
        <v>775</v>
      </c>
      <c r="R235">
        <f t="shared" si="33"/>
        <v>661</v>
      </c>
      <c r="S235">
        <f t="shared" si="34"/>
        <v>167.8</v>
      </c>
      <c r="T235">
        <f t="shared" si="35"/>
        <v>156</v>
      </c>
      <c r="U235" s="21">
        <f t="shared" si="39"/>
        <v>0.85290322580645161</v>
      </c>
      <c r="V235" s="21">
        <f t="shared" si="36"/>
        <v>0.92967818831942794</v>
      </c>
      <c r="W235" s="21">
        <f t="shared" si="37"/>
        <v>0.25385779122541607</v>
      </c>
      <c r="X235">
        <f t="shared" si="38"/>
        <v>0.20129032258064519</v>
      </c>
    </row>
    <row r="236" spans="1:24" x14ac:dyDescent="0.3">
      <c r="A236" s="2">
        <v>235</v>
      </c>
      <c r="B236" s="2" t="s">
        <v>3</v>
      </c>
      <c r="C236" s="2">
        <f>Découpe!C236-Découpe!D236-Découpe!E236</f>
        <v>1015</v>
      </c>
      <c r="D236" s="13">
        <v>16</v>
      </c>
      <c r="E236" s="13">
        <v>41</v>
      </c>
      <c r="F236" s="14">
        <v>28</v>
      </c>
      <c r="G236" s="14">
        <v>19</v>
      </c>
      <c r="H236" s="15">
        <v>15</v>
      </c>
      <c r="I236" s="14">
        <v>14</v>
      </c>
      <c r="J236" s="15">
        <v>7</v>
      </c>
      <c r="K236" s="14">
        <v>15</v>
      </c>
      <c r="L236" s="14">
        <v>20</v>
      </c>
      <c r="N236" s="15">
        <v>15</v>
      </c>
      <c r="O236" s="16">
        <f t="shared" si="30"/>
        <v>150</v>
      </c>
      <c r="P236" s="1">
        <f t="shared" si="31"/>
        <v>960</v>
      </c>
      <c r="Q236">
        <f t="shared" si="32"/>
        <v>773</v>
      </c>
      <c r="R236">
        <f t="shared" si="33"/>
        <v>677</v>
      </c>
      <c r="S236">
        <f t="shared" si="34"/>
        <v>203</v>
      </c>
      <c r="T236">
        <f t="shared" si="35"/>
        <v>191.60000000000002</v>
      </c>
      <c r="U236" s="21">
        <f t="shared" si="39"/>
        <v>0.8758085381630013</v>
      </c>
      <c r="V236" s="21">
        <f t="shared" si="36"/>
        <v>0.94384236453201975</v>
      </c>
      <c r="W236" s="21">
        <f t="shared" si="37"/>
        <v>0.29985228951255538</v>
      </c>
      <c r="X236">
        <f t="shared" si="38"/>
        <v>0.2478654592496766</v>
      </c>
    </row>
    <row r="237" spans="1:24" x14ac:dyDescent="0.3">
      <c r="A237" s="2">
        <v>236</v>
      </c>
      <c r="B237" s="2" t="s">
        <v>5</v>
      </c>
      <c r="C237" s="2">
        <f>Découpe!C237-Découpe!D237-Découpe!E237</f>
        <v>974</v>
      </c>
      <c r="D237" s="13">
        <v>17</v>
      </c>
      <c r="E237" s="13">
        <v>25</v>
      </c>
      <c r="F237" s="14">
        <v>39</v>
      </c>
      <c r="G237" s="14">
        <v>10</v>
      </c>
      <c r="H237" s="15">
        <v>10</v>
      </c>
      <c r="I237" s="14">
        <v>9</v>
      </c>
      <c r="J237" s="15">
        <v>6</v>
      </c>
      <c r="K237" s="14">
        <v>41</v>
      </c>
      <c r="L237" s="14">
        <v>22</v>
      </c>
      <c r="N237" s="15">
        <v>15</v>
      </c>
      <c r="O237" s="16">
        <f t="shared" si="30"/>
        <v>150</v>
      </c>
      <c r="P237" s="1">
        <f t="shared" si="31"/>
        <v>960</v>
      </c>
      <c r="Q237">
        <f t="shared" si="32"/>
        <v>779</v>
      </c>
      <c r="R237">
        <f t="shared" si="33"/>
        <v>658</v>
      </c>
      <c r="S237">
        <f t="shared" si="34"/>
        <v>194.8</v>
      </c>
      <c r="T237">
        <f t="shared" si="35"/>
        <v>186.4</v>
      </c>
      <c r="U237" s="21">
        <f t="shared" si="39"/>
        <v>0.84467265725288831</v>
      </c>
      <c r="V237" s="21">
        <f t="shared" si="36"/>
        <v>0.95687885010266938</v>
      </c>
      <c r="W237" s="21">
        <f t="shared" si="37"/>
        <v>0.29604863221884498</v>
      </c>
      <c r="X237">
        <f t="shared" si="38"/>
        <v>0.23928112965340179</v>
      </c>
    </row>
    <row r="238" spans="1:24" x14ac:dyDescent="0.3">
      <c r="A238" s="2">
        <v>237</v>
      </c>
      <c r="B238" s="2" t="s">
        <v>4</v>
      </c>
      <c r="C238" s="2">
        <f>Découpe!C238-Découpe!D238-Découpe!E238</f>
        <v>930</v>
      </c>
      <c r="D238" s="13">
        <v>25</v>
      </c>
      <c r="E238" s="13">
        <v>39</v>
      </c>
      <c r="F238" s="14">
        <v>39</v>
      </c>
      <c r="G238" s="14">
        <v>14</v>
      </c>
      <c r="H238" s="15">
        <v>8</v>
      </c>
      <c r="I238" s="14">
        <v>8</v>
      </c>
      <c r="J238" s="15">
        <v>6</v>
      </c>
      <c r="K238" s="14">
        <v>20</v>
      </c>
      <c r="L238" s="14">
        <v>27</v>
      </c>
      <c r="N238" s="15">
        <v>15</v>
      </c>
      <c r="O238" s="16">
        <f t="shared" si="30"/>
        <v>150</v>
      </c>
      <c r="P238" s="1">
        <f t="shared" si="31"/>
        <v>960</v>
      </c>
      <c r="Q238">
        <f t="shared" si="32"/>
        <v>781</v>
      </c>
      <c r="R238">
        <f t="shared" si="33"/>
        <v>673</v>
      </c>
      <c r="S238">
        <f t="shared" si="34"/>
        <v>186</v>
      </c>
      <c r="T238">
        <f t="shared" si="35"/>
        <v>173.20000000000002</v>
      </c>
      <c r="U238" s="21">
        <f t="shared" si="39"/>
        <v>0.86171574903969272</v>
      </c>
      <c r="V238" s="21">
        <f t="shared" si="36"/>
        <v>0.9311827956989247</v>
      </c>
      <c r="W238" s="21">
        <f t="shared" si="37"/>
        <v>0.27637444279346213</v>
      </c>
      <c r="X238">
        <f t="shared" si="38"/>
        <v>0.22176696542893728</v>
      </c>
    </row>
    <row r="239" spans="1:24" x14ac:dyDescent="0.3">
      <c r="A239" s="2">
        <v>238</v>
      </c>
      <c r="B239" s="2" t="s">
        <v>3</v>
      </c>
      <c r="C239" s="2">
        <f>Découpe!C239-Découpe!D239-Découpe!E239</f>
        <v>891</v>
      </c>
      <c r="D239" s="13">
        <v>24</v>
      </c>
      <c r="E239" s="13">
        <v>21</v>
      </c>
      <c r="F239" s="14">
        <v>27</v>
      </c>
      <c r="G239" s="14">
        <v>10</v>
      </c>
      <c r="H239" s="15">
        <v>10</v>
      </c>
      <c r="I239" s="14">
        <v>9</v>
      </c>
      <c r="J239" s="15">
        <v>9</v>
      </c>
      <c r="K239" s="14">
        <v>10</v>
      </c>
      <c r="L239" s="14">
        <v>33</v>
      </c>
      <c r="N239" s="15">
        <v>17</v>
      </c>
      <c r="O239" s="16">
        <f t="shared" si="30"/>
        <v>150</v>
      </c>
      <c r="P239" s="1">
        <f t="shared" si="31"/>
        <v>960</v>
      </c>
      <c r="Q239">
        <f t="shared" si="32"/>
        <v>774</v>
      </c>
      <c r="R239">
        <f t="shared" si="33"/>
        <v>685</v>
      </c>
      <c r="S239">
        <f t="shared" si="34"/>
        <v>178.20000000000002</v>
      </c>
      <c r="T239">
        <f t="shared" si="35"/>
        <v>169.20000000000002</v>
      </c>
      <c r="U239" s="21">
        <f t="shared" si="39"/>
        <v>0.88501291989664088</v>
      </c>
      <c r="V239" s="21">
        <f t="shared" si="36"/>
        <v>0.9494949494949495</v>
      </c>
      <c r="W239" s="21">
        <f t="shared" si="37"/>
        <v>0.26014598540145989</v>
      </c>
      <c r="X239">
        <f t="shared" si="38"/>
        <v>0.21860465116279076</v>
      </c>
    </row>
    <row r="240" spans="1:24" x14ac:dyDescent="0.3">
      <c r="A240" s="2">
        <v>239</v>
      </c>
      <c r="B240" s="2" t="s">
        <v>2</v>
      </c>
      <c r="C240" s="2">
        <f>Découpe!C240-Découpe!D240-Découpe!E240</f>
        <v>944</v>
      </c>
      <c r="D240" s="13">
        <v>19</v>
      </c>
      <c r="E240" s="13">
        <v>25</v>
      </c>
      <c r="F240" s="14">
        <v>19</v>
      </c>
      <c r="G240" s="14">
        <v>13</v>
      </c>
      <c r="H240" s="15">
        <v>12</v>
      </c>
      <c r="I240" s="14">
        <v>11</v>
      </c>
      <c r="J240" s="15">
        <v>8</v>
      </c>
      <c r="K240" s="14">
        <v>39</v>
      </c>
      <c r="L240" s="14">
        <v>17</v>
      </c>
      <c r="N240" s="15">
        <v>15</v>
      </c>
      <c r="O240" s="16">
        <f t="shared" si="30"/>
        <v>150</v>
      </c>
      <c r="P240" s="1">
        <f t="shared" si="31"/>
        <v>960</v>
      </c>
      <c r="Q240">
        <f t="shared" si="32"/>
        <v>775</v>
      </c>
      <c r="R240">
        <f t="shared" si="33"/>
        <v>676</v>
      </c>
      <c r="S240">
        <f t="shared" si="34"/>
        <v>188.8</v>
      </c>
      <c r="T240">
        <f t="shared" si="35"/>
        <v>180</v>
      </c>
      <c r="U240" s="21">
        <f t="shared" si="39"/>
        <v>0.87225806451612908</v>
      </c>
      <c r="V240" s="21">
        <f t="shared" si="36"/>
        <v>0.95338983050847459</v>
      </c>
      <c r="W240" s="21">
        <f t="shared" si="37"/>
        <v>0.27928994082840236</v>
      </c>
      <c r="X240">
        <f t="shared" si="38"/>
        <v>0.23225806451612904</v>
      </c>
    </row>
    <row r="241" spans="1:24" x14ac:dyDescent="0.3">
      <c r="A241" s="2">
        <v>240</v>
      </c>
      <c r="B241" s="2" t="s">
        <v>3</v>
      </c>
      <c r="C241" s="2">
        <f>Découpe!C241-Découpe!D241-Découpe!E241</f>
        <v>815</v>
      </c>
      <c r="D241" s="13">
        <v>24</v>
      </c>
      <c r="E241" s="13">
        <v>35</v>
      </c>
      <c r="F241" s="14">
        <v>38</v>
      </c>
      <c r="G241" s="14">
        <v>9</v>
      </c>
      <c r="H241" s="15">
        <v>10</v>
      </c>
      <c r="I241" s="14">
        <v>10</v>
      </c>
      <c r="J241" s="15">
        <v>8</v>
      </c>
      <c r="K241" s="14">
        <v>18</v>
      </c>
      <c r="L241" s="14">
        <v>26</v>
      </c>
      <c r="N241" s="15">
        <v>20</v>
      </c>
      <c r="O241" s="16">
        <f t="shared" si="30"/>
        <v>150</v>
      </c>
      <c r="P241" s="1">
        <f t="shared" si="31"/>
        <v>960</v>
      </c>
      <c r="Q241">
        <f t="shared" si="32"/>
        <v>772</v>
      </c>
      <c r="R241">
        <f t="shared" si="33"/>
        <v>671</v>
      </c>
      <c r="S241">
        <f t="shared" si="34"/>
        <v>163</v>
      </c>
      <c r="T241">
        <f t="shared" si="35"/>
        <v>151.20000000000002</v>
      </c>
      <c r="U241" s="21">
        <f t="shared" si="39"/>
        <v>0.86917098445595853</v>
      </c>
      <c r="V241" s="21">
        <f t="shared" si="36"/>
        <v>0.92760736196319016</v>
      </c>
      <c r="W241" s="21">
        <f t="shared" si="37"/>
        <v>0.24292101341281669</v>
      </c>
      <c r="X241">
        <f t="shared" si="38"/>
        <v>0.19585492227979273</v>
      </c>
    </row>
    <row r="242" spans="1:24" x14ac:dyDescent="0.3">
      <c r="A242" s="2">
        <v>241</v>
      </c>
      <c r="B242" s="2" t="s">
        <v>3</v>
      </c>
      <c r="C242" s="2">
        <f>Découpe!C242-Découpe!D242-Découpe!E242</f>
        <v>937</v>
      </c>
      <c r="D242" s="13">
        <v>19</v>
      </c>
      <c r="E242" s="13">
        <v>21</v>
      </c>
      <c r="F242" s="14">
        <v>27</v>
      </c>
      <c r="G242" s="14">
        <v>15</v>
      </c>
      <c r="H242" s="15">
        <v>6</v>
      </c>
      <c r="I242" s="14">
        <v>6</v>
      </c>
      <c r="J242" s="15">
        <v>9</v>
      </c>
      <c r="L242" s="14">
        <v>24</v>
      </c>
      <c r="N242" s="15">
        <v>16</v>
      </c>
      <c r="O242" s="16">
        <f t="shared" si="30"/>
        <v>150</v>
      </c>
      <c r="P242" s="1">
        <f t="shared" si="31"/>
        <v>960</v>
      </c>
      <c r="Q242">
        <f t="shared" si="32"/>
        <v>779</v>
      </c>
      <c r="R242">
        <f t="shared" si="33"/>
        <v>707</v>
      </c>
      <c r="S242">
        <f t="shared" si="34"/>
        <v>187.4</v>
      </c>
      <c r="T242">
        <f t="shared" si="35"/>
        <v>179.4</v>
      </c>
      <c r="U242" s="21">
        <f t="shared" si="39"/>
        <v>0.90757381258023107</v>
      </c>
      <c r="V242" s="21">
        <f t="shared" si="36"/>
        <v>0.95731056563500538</v>
      </c>
      <c r="W242" s="21">
        <f t="shared" si="37"/>
        <v>0.26506364922206505</v>
      </c>
      <c r="X242">
        <f t="shared" si="38"/>
        <v>0.23029525032092427</v>
      </c>
    </row>
    <row r="243" spans="1:24" x14ac:dyDescent="0.3">
      <c r="A243" s="2">
        <v>242</v>
      </c>
      <c r="B243" s="2" t="s">
        <v>5</v>
      </c>
      <c r="C243" s="2">
        <f>Découpe!C243-Découpe!D243-Découpe!E243</f>
        <v>946</v>
      </c>
      <c r="D243" s="13">
        <v>17</v>
      </c>
      <c r="E243" s="13">
        <v>19</v>
      </c>
      <c r="F243" s="14">
        <v>39</v>
      </c>
      <c r="G243" s="14">
        <v>11</v>
      </c>
      <c r="H243" s="15">
        <v>13</v>
      </c>
      <c r="I243" s="14">
        <v>12</v>
      </c>
      <c r="J243" s="15">
        <v>8</v>
      </c>
      <c r="K243" s="14">
        <v>40</v>
      </c>
      <c r="L243" s="14">
        <v>16</v>
      </c>
      <c r="N243" s="15">
        <v>20</v>
      </c>
      <c r="O243" s="16">
        <f t="shared" si="30"/>
        <v>150</v>
      </c>
      <c r="P243" s="1">
        <f t="shared" si="31"/>
        <v>960</v>
      </c>
      <c r="Q243">
        <f t="shared" si="32"/>
        <v>769</v>
      </c>
      <c r="R243">
        <f t="shared" si="33"/>
        <v>651</v>
      </c>
      <c r="S243">
        <f t="shared" si="34"/>
        <v>189.20000000000002</v>
      </c>
      <c r="T243">
        <f t="shared" si="35"/>
        <v>182</v>
      </c>
      <c r="U243" s="21">
        <f t="shared" si="39"/>
        <v>0.84655396618985701</v>
      </c>
      <c r="V243" s="21">
        <f t="shared" si="36"/>
        <v>0.96194503171247359</v>
      </c>
      <c r="W243" s="21">
        <f t="shared" si="37"/>
        <v>0.29062980030721969</v>
      </c>
      <c r="X243">
        <f t="shared" si="38"/>
        <v>0.23667100130039015</v>
      </c>
    </row>
    <row r="244" spans="1:24" x14ac:dyDescent="0.3">
      <c r="A244" s="2">
        <v>243</v>
      </c>
      <c r="B244" s="2" t="s">
        <v>2</v>
      </c>
      <c r="C244" s="2">
        <f>Découpe!C244-Découpe!D244-Découpe!E244</f>
        <v>1050</v>
      </c>
      <c r="D244" s="13">
        <v>23</v>
      </c>
      <c r="E244" s="13">
        <v>34</v>
      </c>
      <c r="F244" s="14">
        <v>22</v>
      </c>
      <c r="G244" s="14">
        <v>9</v>
      </c>
      <c r="H244" s="15">
        <v>10</v>
      </c>
      <c r="I244" s="14">
        <v>9</v>
      </c>
      <c r="J244" s="15">
        <v>8</v>
      </c>
      <c r="K244" s="14">
        <v>37</v>
      </c>
      <c r="L244" s="14">
        <v>18</v>
      </c>
      <c r="N244" s="15">
        <v>15</v>
      </c>
      <c r="O244" s="16">
        <f t="shared" si="30"/>
        <v>150</v>
      </c>
      <c r="P244" s="1">
        <f t="shared" si="31"/>
        <v>960</v>
      </c>
      <c r="Q244">
        <f t="shared" si="32"/>
        <v>777</v>
      </c>
      <c r="R244">
        <f t="shared" si="33"/>
        <v>682</v>
      </c>
      <c r="S244">
        <f t="shared" si="34"/>
        <v>210</v>
      </c>
      <c r="T244">
        <f t="shared" si="35"/>
        <v>198.60000000000002</v>
      </c>
      <c r="U244" s="21">
        <f t="shared" si="39"/>
        <v>0.87773487773487768</v>
      </c>
      <c r="V244" s="21">
        <f t="shared" si="36"/>
        <v>0.94571428571428573</v>
      </c>
      <c r="W244" s="21">
        <f t="shared" si="37"/>
        <v>0.30791788856304986</v>
      </c>
      <c r="X244">
        <f t="shared" si="38"/>
        <v>0.25559845559845562</v>
      </c>
    </row>
    <row r="245" spans="1:24" x14ac:dyDescent="0.3">
      <c r="A245" s="2">
        <v>244</v>
      </c>
      <c r="B245" s="2" t="s">
        <v>3</v>
      </c>
      <c r="C245" s="2">
        <f>Découpe!C245-Découpe!D245-Découpe!E245</f>
        <v>1080</v>
      </c>
      <c r="D245" s="13">
        <v>27</v>
      </c>
      <c r="E245" s="13">
        <v>37</v>
      </c>
      <c r="F245" s="14">
        <v>34</v>
      </c>
      <c r="G245" s="14">
        <v>10</v>
      </c>
      <c r="H245" s="15">
        <v>11</v>
      </c>
      <c r="I245" s="14">
        <v>11</v>
      </c>
      <c r="J245" s="15">
        <v>5</v>
      </c>
      <c r="K245" s="14">
        <v>15</v>
      </c>
      <c r="L245" s="14">
        <v>21</v>
      </c>
      <c r="N245" s="15">
        <v>19</v>
      </c>
      <c r="O245" s="16">
        <f t="shared" si="30"/>
        <v>150</v>
      </c>
      <c r="P245" s="1">
        <f t="shared" si="31"/>
        <v>960</v>
      </c>
      <c r="Q245">
        <f t="shared" si="32"/>
        <v>775</v>
      </c>
      <c r="R245">
        <f t="shared" si="33"/>
        <v>684</v>
      </c>
      <c r="S245">
        <f t="shared" si="34"/>
        <v>216</v>
      </c>
      <c r="T245">
        <f t="shared" si="35"/>
        <v>203.20000000000002</v>
      </c>
      <c r="U245" s="21">
        <f t="shared" si="39"/>
        <v>0.88258064516129031</v>
      </c>
      <c r="V245" s="21">
        <f t="shared" si="36"/>
        <v>0.94074074074074077</v>
      </c>
      <c r="W245" s="21">
        <f t="shared" si="37"/>
        <v>0.31578947368421051</v>
      </c>
      <c r="X245">
        <f t="shared" si="38"/>
        <v>0.26219354838709674</v>
      </c>
    </row>
    <row r="246" spans="1:24" x14ac:dyDescent="0.3">
      <c r="A246" s="2">
        <v>245</v>
      </c>
      <c r="B246" s="2" t="s">
        <v>4</v>
      </c>
      <c r="C246" s="2">
        <f>Découpe!C246-Découpe!D246-Découpe!E246</f>
        <v>1097</v>
      </c>
      <c r="D246" s="13">
        <v>17</v>
      </c>
      <c r="E246" s="13">
        <v>37</v>
      </c>
      <c r="F246" s="14">
        <v>32</v>
      </c>
      <c r="G246" s="14">
        <v>8</v>
      </c>
      <c r="H246" s="15">
        <v>7</v>
      </c>
      <c r="I246" s="14">
        <v>7</v>
      </c>
      <c r="J246" s="15">
        <v>5</v>
      </c>
      <c r="K246" s="14">
        <v>26</v>
      </c>
      <c r="L246" s="14">
        <v>25</v>
      </c>
      <c r="N246" s="15">
        <v>16</v>
      </c>
      <c r="O246" s="16">
        <f t="shared" si="30"/>
        <v>150</v>
      </c>
      <c r="P246" s="1">
        <f t="shared" si="31"/>
        <v>960</v>
      </c>
      <c r="Q246">
        <f t="shared" si="32"/>
        <v>782</v>
      </c>
      <c r="R246">
        <f t="shared" si="33"/>
        <v>684</v>
      </c>
      <c r="S246">
        <f t="shared" si="34"/>
        <v>219.4</v>
      </c>
      <c r="T246">
        <f t="shared" si="35"/>
        <v>208.60000000000002</v>
      </c>
      <c r="U246" s="21">
        <f t="shared" si="39"/>
        <v>0.8746803069053708</v>
      </c>
      <c r="V246" s="21">
        <f t="shared" si="36"/>
        <v>0.95077484047402006</v>
      </c>
      <c r="W246" s="21">
        <f t="shared" si="37"/>
        <v>0.32076023391812869</v>
      </c>
      <c r="X246">
        <f t="shared" si="38"/>
        <v>0.2667519181585678</v>
      </c>
    </row>
    <row r="247" spans="1:24" x14ac:dyDescent="0.3">
      <c r="A247" s="2">
        <v>246</v>
      </c>
      <c r="B247" s="2" t="s">
        <v>3</v>
      </c>
      <c r="C247" s="2">
        <f>Découpe!C247-Découpe!D247-Découpe!E247</f>
        <v>932</v>
      </c>
      <c r="D247" s="13">
        <v>20</v>
      </c>
      <c r="E247" s="13">
        <v>38</v>
      </c>
      <c r="F247" s="14">
        <v>33</v>
      </c>
      <c r="G247" s="14">
        <v>18</v>
      </c>
      <c r="H247" s="15">
        <v>5</v>
      </c>
      <c r="I247" s="14">
        <v>4</v>
      </c>
      <c r="J247" s="15">
        <v>7</v>
      </c>
      <c r="K247" s="14">
        <v>21</v>
      </c>
      <c r="L247" s="14">
        <v>22</v>
      </c>
      <c r="N247" s="15">
        <v>17</v>
      </c>
      <c r="O247" s="16">
        <f t="shared" si="30"/>
        <v>150</v>
      </c>
      <c r="P247" s="1">
        <f t="shared" si="31"/>
        <v>960</v>
      </c>
      <c r="Q247">
        <f t="shared" si="32"/>
        <v>781</v>
      </c>
      <c r="R247">
        <f t="shared" si="33"/>
        <v>683</v>
      </c>
      <c r="S247">
        <f t="shared" si="34"/>
        <v>186.4</v>
      </c>
      <c r="T247">
        <f t="shared" si="35"/>
        <v>174.8</v>
      </c>
      <c r="U247" s="21">
        <f t="shared" si="39"/>
        <v>0.87451984635083224</v>
      </c>
      <c r="V247" s="21">
        <f t="shared" si="36"/>
        <v>0.9377682403433476</v>
      </c>
      <c r="W247" s="21">
        <f t="shared" si="37"/>
        <v>0.27291361639824308</v>
      </c>
      <c r="X247">
        <f t="shared" si="38"/>
        <v>0.2238156209987196</v>
      </c>
    </row>
    <row r="248" spans="1:24" x14ac:dyDescent="0.3">
      <c r="A248" s="2">
        <v>247</v>
      </c>
      <c r="B248" s="2" t="s">
        <v>5</v>
      </c>
      <c r="C248" s="2">
        <f>Découpe!C248-Découpe!D248-Découpe!E248</f>
        <v>1050</v>
      </c>
      <c r="D248" s="13">
        <v>20</v>
      </c>
      <c r="E248" s="13">
        <v>39</v>
      </c>
      <c r="F248" s="14">
        <v>26</v>
      </c>
      <c r="G248" s="14">
        <v>8</v>
      </c>
      <c r="H248" s="15">
        <v>10</v>
      </c>
      <c r="I248" s="14">
        <v>10</v>
      </c>
      <c r="J248" s="15">
        <v>8</v>
      </c>
      <c r="K248" s="14">
        <v>24</v>
      </c>
      <c r="L248" s="14">
        <v>24</v>
      </c>
      <c r="N248" s="15">
        <v>18</v>
      </c>
      <c r="O248" s="16">
        <f t="shared" si="30"/>
        <v>150</v>
      </c>
      <c r="P248" s="1">
        <f t="shared" si="31"/>
        <v>960</v>
      </c>
      <c r="Q248">
        <f t="shared" si="32"/>
        <v>774</v>
      </c>
      <c r="R248">
        <f t="shared" si="33"/>
        <v>682</v>
      </c>
      <c r="S248">
        <f t="shared" si="34"/>
        <v>210</v>
      </c>
      <c r="T248">
        <f t="shared" si="35"/>
        <v>198.20000000000002</v>
      </c>
      <c r="U248" s="21">
        <f t="shared" si="39"/>
        <v>0.88113695090439281</v>
      </c>
      <c r="V248" s="21">
        <f t="shared" si="36"/>
        <v>0.94380952380952376</v>
      </c>
      <c r="W248" s="21">
        <f t="shared" si="37"/>
        <v>0.30791788856304986</v>
      </c>
      <c r="X248">
        <f t="shared" si="38"/>
        <v>0.25607235142118867</v>
      </c>
    </row>
    <row r="249" spans="1:24" x14ac:dyDescent="0.3">
      <c r="A249" s="2">
        <v>248</v>
      </c>
      <c r="B249" s="2" t="s">
        <v>3</v>
      </c>
      <c r="C249" s="2">
        <f>Découpe!C249-Découpe!D249-Découpe!E249</f>
        <v>1065</v>
      </c>
      <c r="D249" s="13">
        <v>20</v>
      </c>
      <c r="E249" s="13">
        <v>33</v>
      </c>
      <c r="F249" s="14">
        <v>31</v>
      </c>
      <c r="G249" s="14">
        <v>14</v>
      </c>
      <c r="H249" s="15">
        <v>15</v>
      </c>
      <c r="I249" s="14">
        <v>14</v>
      </c>
      <c r="J249" s="15">
        <v>6</v>
      </c>
      <c r="K249" s="14">
        <v>41</v>
      </c>
      <c r="L249" s="14">
        <v>22</v>
      </c>
      <c r="N249" s="15">
        <v>17</v>
      </c>
      <c r="O249" s="16">
        <f t="shared" si="30"/>
        <v>150</v>
      </c>
      <c r="P249" s="1">
        <f t="shared" si="31"/>
        <v>960</v>
      </c>
      <c r="Q249">
        <f t="shared" si="32"/>
        <v>772</v>
      </c>
      <c r="R249">
        <f t="shared" si="33"/>
        <v>650</v>
      </c>
      <c r="S249">
        <f t="shared" si="34"/>
        <v>213</v>
      </c>
      <c r="T249">
        <f t="shared" si="35"/>
        <v>202.4</v>
      </c>
      <c r="U249" s="21">
        <f t="shared" si="39"/>
        <v>0.84196891191709844</v>
      </c>
      <c r="V249" s="21">
        <f t="shared" si="36"/>
        <v>0.95023474178403755</v>
      </c>
      <c r="W249" s="21">
        <f t="shared" si="37"/>
        <v>0.32769230769230767</v>
      </c>
      <c r="X249">
        <f t="shared" si="38"/>
        <v>0.26217616580310882</v>
      </c>
    </row>
    <row r="250" spans="1:24" x14ac:dyDescent="0.3">
      <c r="A250" s="2">
        <v>249</v>
      </c>
      <c r="B250" s="2" t="s">
        <v>5</v>
      </c>
      <c r="C250" s="2">
        <f>Découpe!C250-Découpe!D250-Découpe!E250</f>
        <v>756</v>
      </c>
      <c r="D250" s="13">
        <v>18</v>
      </c>
      <c r="E250" s="13">
        <v>25</v>
      </c>
      <c r="F250" s="14">
        <v>30</v>
      </c>
      <c r="G250" s="14">
        <v>13</v>
      </c>
      <c r="H250" s="15">
        <v>10</v>
      </c>
      <c r="I250" s="14">
        <v>10</v>
      </c>
      <c r="J250" s="15">
        <v>9</v>
      </c>
      <c r="K250" s="14">
        <v>44</v>
      </c>
      <c r="L250" s="14">
        <v>29</v>
      </c>
      <c r="N250" s="15">
        <v>18</v>
      </c>
      <c r="O250" s="16">
        <f t="shared" si="30"/>
        <v>150</v>
      </c>
      <c r="P250" s="1">
        <f t="shared" si="31"/>
        <v>960</v>
      </c>
      <c r="Q250">
        <f t="shared" si="32"/>
        <v>773</v>
      </c>
      <c r="R250">
        <f t="shared" si="33"/>
        <v>647</v>
      </c>
      <c r="S250">
        <f t="shared" si="34"/>
        <v>151.20000000000002</v>
      </c>
      <c r="T250">
        <f t="shared" si="35"/>
        <v>142.6</v>
      </c>
      <c r="U250" s="21">
        <f t="shared" si="39"/>
        <v>0.83699870633893925</v>
      </c>
      <c r="V250" s="21">
        <f t="shared" si="36"/>
        <v>0.94312169312169314</v>
      </c>
      <c r="W250" s="21">
        <f t="shared" si="37"/>
        <v>0.23369397217928906</v>
      </c>
      <c r="X250">
        <f t="shared" si="38"/>
        <v>0.18447606727037522</v>
      </c>
    </row>
    <row r="251" spans="1:24" x14ac:dyDescent="0.3">
      <c r="A251" s="2">
        <v>250</v>
      </c>
      <c r="B251" s="2" t="s">
        <v>3</v>
      </c>
      <c r="C251" s="2">
        <f>Découpe!C251-Découpe!D251-Découpe!E251</f>
        <v>961</v>
      </c>
      <c r="D251" s="13">
        <v>20</v>
      </c>
      <c r="E251" s="13">
        <v>21</v>
      </c>
      <c r="F251" s="14">
        <v>43</v>
      </c>
      <c r="G251" s="14">
        <v>16</v>
      </c>
      <c r="H251" s="15">
        <v>6</v>
      </c>
      <c r="I251" s="14">
        <v>5</v>
      </c>
      <c r="J251" s="15">
        <v>9</v>
      </c>
      <c r="K251" s="14">
        <v>44</v>
      </c>
      <c r="L251" s="14">
        <v>25</v>
      </c>
      <c r="N251" s="15">
        <v>17</v>
      </c>
      <c r="O251" s="16">
        <f t="shared" si="30"/>
        <v>150</v>
      </c>
      <c r="P251" s="1">
        <f t="shared" si="31"/>
        <v>960</v>
      </c>
      <c r="Q251">
        <f t="shared" si="32"/>
        <v>778</v>
      </c>
      <c r="R251">
        <f t="shared" si="33"/>
        <v>645</v>
      </c>
      <c r="S251">
        <f t="shared" si="34"/>
        <v>192.20000000000002</v>
      </c>
      <c r="T251">
        <f t="shared" si="35"/>
        <v>184</v>
      </c>
      <c r="U251" s="21">
        <f t="shared" si="39"/>
        <v>0.8290488431876607</v>
      </c>
      <c r="V251" s="21">
        <f t="shared" si="36"/>
        <v>0.95733610822060355</v>
      </c>
      <c r="W251" s="21">
        <f t="shared" si="37"/>
        <v>0.29798449612403105</v>
      </c>
      <c r="X251">
        <f t="shared" si="38"/>
        <v>0.23650385604113117</v>
      </c>
    </row>
    <row r="252" spans="1:24" x14ac:dyDescent="0.3">
      <c r="O252" s="16">
        <f t="shared" ref="O252:T252" si="40">SUM(O2:O251)</f>
        <v>37500</v>
      </c>
      <c r="P252" s="12">
        <f t="shared" si="40"/>
        <v>240000</v>
      </c>
      <c r="Q252" s="12">
        <f t="shared" si="40"/>
        <v>192929</v>
      </c>
      <c r="R252" s="12">
        <f t="shared" si="40"/>
        <v>162719</v>
      </c>
      <c r="S252" s="12">
        <f t="shared" si="40"/>
        <v>67745.200000000012</v>
      </c>
      <c r="T252" s="12">
        <f t="shared" si="40"/>
        <v>65172.400000000023</v>
      </c>
      <c r="U252" s="25">
        <f>AVERAGE(U2:U251)</f>
        <v>0.84332385022594469</v>
      </c>
      <c r="V252" s="25">
        <f>AVERAGE(V2:V251)</f>
        <v>0.9604606752374758</v>
      </c>
      <c r="W252" s="25">
        <f>AVERAGE(W2:W251)</f>
        <v>0.41869256255205556</v>
      </c>
      <c r="X252" s="25">
        <f>AVERAGE(X2:X251)</f>
        <v>0.33797106456081361</v>
      </c>
    </row>
    <row r="253" spans="1:24" x14ac:dyDescent="0.3">
      <c r="U253" s="21"/>
      <c r="V253" s="21"/>
      <c r="W253" s="21"/>
      <c r="X253" s="2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53"/>
  <sheetViews>
    <sheetView tabSelected="1" zoomScale="55" zoomScaleNormal="85" workbookViewId="0">
      <selection activeCell="AC11" sqref="AC11"/>
    </sheetView>
  </sheetViews>
  <sheetFormatPr baseColWidth="10" defaultColWidth="11" defaultRowHeight="14.4" x14ac:dyDescent="0.3"/>
  <cols>
    <col min="1" max="3" width="24.109375" style="2" customWidth="1"/>
    <col min="4" max="5" width="24.109375" style="15" customWidth="1"/>
    <col min="6" max="7" width="24.109375" style="18" customWidth="1"/>
    <col min="8" max="8" width="24.109375" style="19" customWidth="1"/>
    <col min="9" max="9" width="24.109375" style="18" customWidth="1"/>
    <col min="10" max="10" width="24.109375" style="19" customWidth="1"/>
    <col min="11" max="12" width="24.109375" style="18" customWidth="1"/>
    <col min="13" max="14" width="24.109375" style="19" customWidth="1"/>
    <col min="15" max="15" width="11" style="20"/>
    <col min="16" max="16" width="11" style="1"/>
    <col min="21" max="21" width="11" style="21"/>
  </cols>
  <sheetData>
    <row r="1" spans="1:24" x14ac:dyDescent="0.3">
      <c r="A1" s="2" t="s">
        <v>28</v>
      </c>
      <c r="B1" s="2" t="s">
        <v>15</v>
      </c>
      <c r="C1" s="2" t="s">
        <v>27</v>
      </c>
      <c r="D1" s="10" t="s">
        <v>0</v>
      </c>
      <c r="E1" s="10" t="s">
        <v>6</v>
      </c>
      <c r="F1" s="9" t="s">
        <v>7</v>
      </c>
      <c r="G1" s="9" t="s">
        <v>8</v>
      </c>
      <c r="H1" s="7" t="s">
        <v>13</v>
      </c>
      <c r="I1" s="9" t="s">
        <v>9</v>
      </c>
      <c r="J1" s="7" t="s">
        <v>10</v>
      </c>
      <c r="K1" s="9" t="s">
        <v>11</v>
      </c>
      <c r="L1" s="9" t="s">
        <v>12</v>
      </c>
      <c r="M1" s="7" t="s">
        <v>14</v>
      </c>
      <c r="N1" s="7" t="s">
        <v>1</v>
      </c>
      <c r="O1" s="7" t="s">
        <v>16</v>
      </c>
      <c r="P1" s="17" t="s">
        <v>17</v>
      </c>
      <c r="Q1" s="17" t="s">
        <v>18</v>
      </c>
      <c r="R1" s="17" t="s">
        <v>20</v>
      </c>
      <c r="S1" s="17" t="s">
        <v>21</v>
      </c>
      <c r="T1" s="17" t="s">
        <v>22</v>
      </c>
      <c r="U1" s="17" t="s">
        <v>23</v>
      </c>
      <c r="V1" s="17" t="s">
        <v>24</v>
      </c>
      <c r="W1" s="17" t="s">
        <v>25</v>
      </c>
      <c r="X1" s="17" t="s">
        <v>26</v>
      </c>
    </row>
    <row r="2" spans="1:24" x14ac:dyDescent="0.3">
      <c r="A2" s="2">
        <v>1</v>
      </c>
      <c r="B2" s="2" t="s">
        <v>2</v>
      </c>
      <c r="C2" s="2">
        <f>Usinage!C2-Usinage!D2-Usinage!E2</f>
        <v>1750</v>
      </c>
      <c r="D2" s="15">
        <v>59</v>
      </c>
      <c r="E2" s="15">
        <v>150</v>
      </c>
      <c r="F2" s="18">
        <v>36</v>
      </c>
      <c r="G2" s="18">
        <v>24</v>
      </c>
      <c r="H2" s="19">
        <v>5</v>
      </c>
      <c r="I2" s="18">
        <v>18</v>
      </c>
      <c r="J2" s="19">
        <v>21</v>
      </c>
      <c r="L2" s="18">
        <v>115</v>
      </c>
      <c r="N2" s="19">
        <v>6</v>
      </c>
      <c r="O2" s="20">
        <f>37500/250</f>
        <v>150</v>
      </c>
      <c r="P2" s="1">
        <f>4000*60/250</f>
        <v>960</v>
      </c>
      <c r="Q2">
        <f>P2-H2-J2-M2-N2-O2</f>
        <v>778</v>
      </c>
      <c r="R2">
        <f>Q2-F2-G2-I2-K2-L2</f>
        <v>585</v>
      </c>
      <c r="S2">
        <f>C2*0.264</f>
        <v>462</v>
      </c>
      <c r="T2">
        <f>(C2-D2-E2)*0.264</f>
        <v>406.82400000000001</v>
      </c>
      <c r="U2" s="21">
        <f>R2/Q2</f>
        <v>0.75192802056555275</v>
      </c>
      <c r="V2" s="21">
        <f>(C2-D2-E2)/C2</f>
        <v>0.88057142857142856</v>
      </c>
      <c r="W2" s="21">
        <f>S2/R2</f>
        <v>0.78974358974358971</v>
      </c>
      <c r="X2">
        <f>U2*V2*W2</f>
        <v>0.5229100257069409</v>
      </c>
    </row>
    <row r="3" spans="1:24" x14ac:dyDescent="0.3">
      <c r="A3" s="2">
        <v>2</v>
      </c>
      <c r="B3" s="2" t="s">
        <v>4</v>
      </c>
      <c r="C3" s="2">
        <f>Usinage!C3-Usinage!D3-Usinage!E3</f>
        <v>1656</v>
      </c>
      <c r="D3" s="15">
        <v>56</v>
      </c>
      <c r="E3" s="15">
        <v>144</v>
      </c>
      <c r="F3" s="18">
        <v>45</v>
      </c>
      <c r="G3" s="18">
        <v>18</v>
      </c>
      <c r="H3" s="19">
        <v>10</v>
      </c>
      <c r="I3" s="18">
        <v>16</v>
      </c>
      <c r="J3" s="19">
        <v>23</v>
      </c>
      <c r="L3" s="18">
        <v>136</v>
      </c>
      <c r="N3" s="19">
        <v>9</v>
      </c>
      <c r="O3" s="20">
        <f t="shared" ref="O3:O66" si="0">37500/250</f>
        <v>150</v>
      </c>
      <c r="P3" s="1">
        <f t="shared" ref="P3:P66" si="1">4000*60/250</f>
        <v>960</v>
      </c>
      <c r="Q3">
        <f t="shared" ref="Q3:Q66" si="2">P3-H3-J3-M3-N3-O3</f>
        <v>768</v>
      </c>
      <c r="R3">
        <f t="shared" ref="R3:R66" si="3">Q3-F3-G3-I3-K3-L3</f>
        <v>553</v>
      </c>
      <c r="S3">
        <f t="shared" ref="S3:S66" si="4">C3*0.264</f>
        <v>437.18400000000003</v>
      </c>
      <c r="T3">
        <f t="shared" ref="T3:T66" si="5">(C3-D3-E3)*0.264</f>
        <v>384.38400000000001</v>
      </c>
      <c r="U3" s="21">
        <f t="shared" ref="U3:U66" si="6">R3/Q3</f>
        <v>0.72005208333333337</v>
      </c>
      <c r="V3" s="21">
        <f t="shared" ref="V3:V66" si="7">(C3-D3-E3)/C3</f>
        <v>0.87922705314009664</v>
      </c>
      <c r="W3" s="21">
        <f t="shared" ref="W3:W66" si="8">S3/R3</f>
        <v>0.79056781193490056</v>
      </c>
      <c r="X3">
        <f t="shared" ref="X3:X66" si="9">U3*V3*W3</f>
        <v>0.50050000000000006</v>
      </c>
    </row>
    <row r="4" spans="1:24" x14ac:dyDescent="0.3">
      <c r="A4" s="2">
        <v>3</v>
      </c>
      <c r="B4" s="2" t="s">
        <v>3</v>
      </c>
      <c r="C4" s="2">
        <f>Usinage!C4-Usinage!D4-Usinage!E4</f>
        <v>1638</v>
      </c>
      <c r="D4" s="15">
        <v>59</v>
      </c>
      <c r="E4" s="15">
        <v>156</v>
      </c>
      <c r="G4" s="18">
        <v>41</v>
      </c>
      <c r="H4" s="19">
        <v>5</v>
      </c>
      <c r="I4" s="18">
        <v>15</v>
      </c>
      <c r="J4" s="19">
        <v>23</v>
      </c>
      <c r="L4" s="18">
        <v>126</v>
      </c>
      <c r="N4" s="19">
        <v>9</v>
      </c>
      <c r="O4" s="20">
        <f t="shared" si="0"/>
        <v>150</v>
      </c>
      <c r="P4" s="1">
        <f t="shared" si="1"/>
        <v>960</v>
      </c>
      <c r="Q4">
        <f t="shared" si="2"/>
        <v>773</v>
      </c>
      <c r="R4">
        <f t="shared" si="3"/>
        <v>591</v>
      </c>
      <c r="S4">
        <f t="shared" si="4"/>
        <v>432.43200000000002</v>
      </c>
      <c r="T4">
        <f t="shared" si="5"/>
        <v>375.67200000000003</v>
      </c>
      <c r="U4" s="21">
        <f t="shared" si="6"/>
        <v>0.76455368693402326</v>
      </c>
      <c r="V4" s="21">
        <f t="shared" si="7"/>
        <v>0.86874236874236876</v>
      </c>
      <c r="W4" s="21">
        <f t="shared" si="8"/>
        <v>0.73169543147208127</v>
      </c>
      <c r="X4">
        <f t="shared" si="9"/>
        <v>0.48599223803363523</v>
      </c>
    </row>
    <row r="5" spans="1:24" x14ac:dyDescent="0.3">
      <c r="A5" s="2">
        <v>4</v>
      </c>
      <c r="B5" s="2" t="s">
        <v>5</v>
      </c>
      <c r="C5" s="2">
        <f>Usinage!C5-Usinage!D5-Usinage!E5</f>
        <v>1720</v>
      </c>
      <c r="D5" s="15">
        <v>47</v>
      </c>
      <c r="E5" s="15">
        <v>182</v>
      </c>
      <c r="G5" s="18">
        <v>38</v>
      </c>
      <c r="H5" s="19">
        <v>5</v>
      </c>
      <c r="I5" s="18">
        <v>18</v>
      </c>
      <c r="J5" s="19">
        <v>20</v>
      </c>
      <c r="L5" s="18">
        <v>106</v>
      </c>
      <c r="O5" s="20">
        <f t="shared" si="0"/>
        <v>150</v>
      </c>
      <c r="P5" s="1">
        <f t="shared" si="1"/>
        <v>960</v>
      </c>
      <c r="Q5">
        <f t="shared" si="2"/>
        <v>785</v>
      </c>
      <c r="R5">
        <f t="shared" si="3"/>
        <v>623</v>
      </c>
      <c r="S5">
        <f t="shared" si="4"/>
        <v>454.08000000000004</v>
      </c>
      <c r="T5">
        <f t="shared" si="5"/>
        <v>393.62400000000002</v>
      </c>
      <c r="U5" s="21">
        <f t="shared" si="6"/>
        <v>0.79363057324840769</v>
      </c>
      <c r="V5" s="21">
        <f t="shared" si="7"/>
        <v>0.86686046511627912</v>
      </c>
      <c r="W5" s="21">
        <f t="shared" si="8"/>
        <v>0.72886035313001607</v>
      </c>
      <c r="X5">
        <f t="shared" si="9"/>
        <v>0.50143184713375799</v>
      </c>
    </row>
    <row r="6" spans="1:24" x14ac:dyDescent="0.3">
      <c r="A6" s="2">
        <v>5</v>
      </c>
      <c r="B6" s="2" t="s">
        <v>2</v>
      </c>
      <c r="C6" s="2">
        <f>Usinage!C6-Usinage!D6-Usinage!E6</f>
        <v>1626</v>
      </c>
      <c r="D6" s="15">
        <v>43</v>
      </c>
      <c r="E6" s="15">
        <v>185</v>
      </c>
      <c r="G6" s="18">
        <v>33</v>
      </c>
      <c r="H6" s="19">
        <v>6</v>
      </c>
      <c r="I6" s="18">
        <v>19</v>
      </c>
      <c r="J6" s="19">
        <v>24</v>
      </c>
      <c r="L6" s="18">
        <v>111</v>
      </c>
      <c r="O6" s="20">
        <f t="shared" si="0"/>
        <v>150</v>
      </c>
      <c r="P6" s="1">
        <f t="shared" si="1"/>
        <v>960</v>
      </c>
      <c r="Q6">
        <f t="shared" si="2"/>
        <v>780</v>
      </c>
      <c r="R6">
        <f t="shared" si="3"/>
        <v>617</v>
      </c>
      <c r="S6">
        <f t="shared" si="4"/>
        <v>429.26400000000001</v>
      </c>
      <c r="T6">
        <f t="shared" si="5"/>
        <v>369.072</v>
      </c>
      <c r="U6" s="21">
        <f t="shared" si="6"/>
        <v>0.79102564102564099</v>
      </c>
      <c r="V6" s="21">
        <f t="shared" si="7"/>
        <v>0.85977859778597787</v>
      </c>
      <c r="W6" s="21">
        <f t="shared" si="8"/>
        <v>0.69572771474878448</v>
      </c>
      <c r="X6">
        <f t="shared" si="9"/>
        <v>0.47316923076923073</v>
      </c>
    </row>
    <row r="7" spans="1:24" x14ac:dyDescent="0.3">
      <c r="A7" s="2">
        <v>6</v>
      </c>
      <c r="B7" s="2" t="s">
        <v>3</v>
      </c>
      <c r="C7" s="2">
        <f>Usinage!C7-Usinage!D7-Usinage!E7</f>
        <v>1765</v>
      </c>
      <c r="D7" s="15">
        <v>52</v>
      </c>
      <c r="E7" s="15">
        <v>198</v>
      </c>
      <c r="G7" s="18">
        <v>36</v>
      </c>
      <c r="H7" s="19">
        <v>6</v>
      </c>
      <c r="I7" s="18">
        <v>22</v>
      </c>
      <c r="J7" s="19">
        <v>24</v>
      </c>
      <c r="L7" s="18">
        <v>122</v>
      </c>
      <c r="O7" s="20">
        <f t="shared" si="0"/>
        <v>150</v>
      </c>
      <c r="P7" s="1">
        <f t="shared" si="1"/>
        <v>960</v>
      </c>
      <c r="Q7">
        <f t="shared" si="2"/>
        <v>780</v>
      </c>
      <c r="R7">
        <f t="shared" si="3"/>
        <v>600</v>
      </c>
      <c r="S7">
        <f t="shared" si="4"/>
        <v>465.96000000000004</v>
      </c>
      <c r="T7">
        <f t="shared" si="5"/>
        <v>399.96000000000004</v>
      </c>
      <c r="U7" s="21">
        <f t="shared" si="6"/>
        <v>0.76923076923076927</v>
      </c>
      <c r="V7" s="21">
        <f t="shared" si="7"/>
        <v>0.85835694050991507</v>
      </c>
      <c r="W7" s="21">
        <f t="shared" si="8"/>
        <v>0.77660000000000007</v>
      </c>
      <c r="X7">
        <f t="shared" si="9"/>
        <v>0.51276923076923087</v>
      </c>
    </row>
    <row r="8" spans="1:24" x14ac:dyDescent="0.3">
      <c r="A8" s="2">
        <v>7</v>
      </c>
      <c r="B8" s="2" t="s">
        <v>3</v>
      </c>
      <c r="C8" s="2">
        <f>Usinage!C8-Usinage!D8-Usinage!E8</f>
        <v>1781</v>
      </c>
      <c r="D8" s="15">
        <v>56</v>
      </c>
      <c r="E8" s="15">
        <v>161</v>
      </c>
      <c r="G8" s="18">
        <v>44</v>
      </c>
      <c r="H8" s="19">
        <v>8</v>
      </c>
      <c r="I8" s="18">
        <v>16</v>
      </c>
      <c r="J8" s="19">
        <v>25</v>
      </c>
      <c r="L8" s="18">
        <v>125</v>
      </c>
      <c r="O8" s="20">
        <f t="shared" si="0"/>
        <v>150</v>
      </c>
      <c r="P8" s="1">
        <f t="shared" si="1"/>
        <v>960</v>
      </c>
      <c r="Q8">
        <f t="shared" si="2"/>
        <v>777</v>
      </c>
      <c r="R8">
        <f t="shared" si="3"/>
        <v>592</v>
      </c>
      <c r="S8">
        <f t="shared" si="4"/>
        <v>470.18400000000003</v>
      </c>
      <c r="T8">
        <f t="shared" si="5"/>
        <v>412.89600000000002</v>
      </c>
      <c r="U8" s="21">
        <f t="shared" si="6"/>
        <v>0.76190476190476186</v>
      </c>
      <c r="V8" s="21">
        <f t="shared" si="7"/>
        <v>0.87815833801235266</v>
      </c>
      <c r="W8" s="21">
        <f t="shared" si="8"/>
        <v>0.79422972972972983</v>
      </c>
      <c r="X8">
        <f t="shared" si="9"/>
        <v>0.53139768339768345</v>
      </c>
    </row>
    <row r="9" spans="1:24" x14ac:dyDescent="0.3">
      <c r="A9" s="2">
        <v>8</v>
      </c>
      <c r="B9" s="2" t="s">
        <v>5</v>
      </c>
      <c r="C9" s="2">
        <f>Usinage!C9-Usinage!D9-Usinage!E9</f>
        <v>1783</v>
      </c>
      <c r="D9" s="15">
        <v>53</v>
      </c>
      <c r="E9" s="15">
        <v>161</v>
      </c>
      <c r="G9" s="18">
        <v>31</v>
      </c>
      <c r="H9" s="19">
        <v>8</v>
      </c>
      <c r="I9" s="18">
        <v>25</v>
      </c>
      <c r="J9" s="19">
        <v>22</v>
      </c>
      <c r="L9" s="18">
        <v>112</v>
      </c>
      <c r="O9" s="20">
        <f t="shared" si="0"/>
        <v>150</v>
      </c>
      <c r="P9" s="1">
        <f t="shared" si="1"/>
        <v>960</v>
      </c>
      <c r="Q9">
        <f t="shared" si="2"/>
        <v>780</v>
      </c>
      <c r="R9">
        <f t="shared" si="3"/>
        <v>612</v>
      </c>
      <c r="S9">
        <f t="shared" si="4"/>
        <v>470.71200000000005</v>
      </c>
      <c r="T9">
        <f t="shared" si="5"/>
        <v>414.21600000000001</v>
      </c>
      <c r="U9" s="21">
        <f t="shared" si="6"/>
        <v>0.7846153846153846</v>
      </c>
      <c r="V9" s="21">
        <f t="shared" si="7"/>
        <v>0.87997756590016829</v>
      </c>
      <c r="W9" s="21">
        <f t="shared" si="8"/>
        <v>0.76913725490196083</v>
      </c>
      <c r="X9">
        <f t="shared" si="9"/>
        <v>0.53104615384615383</v>
      </c>
    </row>
    <row r="10" spans="1:24" x14ac:dyDescent="0.3">
      <c r="A10" s="2">
        <v>9</v>
      </c>
      <c r="B10" s="2" t="s">
        <v>2</v>
      </c>
      <c r="C10" s="2">
        <f>Usinage!C10-Usinage!D10-Usinage!E10</f>
        <v>1658</v>
      </c>
      <c r="D10" s="15">
        <v>44</v>
      </c>
      <c r="E10" s="15">
        <v>175</v>
      </c>
      <c r="G10" s="18">
        <v>32</v>
      </c>
      <c r="H10" s="19">
        <v>7</v>
      </c>
      <c r="I10" s="18">
        <v>22</v>
      </c>
      <c r="J10" s="19">
        <v>22</v>
      </c>
      <c r="L10" s="18">
        <v>126</v>
      </c>
      <c r="O10" s="20">
        <f t="shared" si="0"/>
        <v>150</v>
      </c>
      <c r="P10" s="1">
        <f t="shared" si="1"/>
        <v>960</v>
      </c>
      <c r="Q10">
        <f t="shared" si="2"/>
        <v>781</v>
      </c>
      <c r="R10">
        <f t="shared" si="3"/>
        <v>601</v>
      </c>
      <c r="S10">
        <f t="shared" si="4"/>
        <v>437.71200000000005</v>
      </c>
      <c r="T10">
        <f t="shared" si="5"/>
        <v>379.89600000000002</v>
      </c>
      <c r="U10" s="21">
        <f t="shared" si="6"/>
        <v>0.7695262483994878</v>
      </c>
      <c r="V10" s="21">
        <f t="shared" si="7"/>
        <v>0.867913148371532</v>
      </c>
      <c r="W10" s="21">
        <f t="shared" si="8"/>
        <v>0.72830615640599006</v>
      </c>
      <c r="X10">
        <f t="shared" si="9"/>
        <v>0.48642253521126766</v>
      </c>
    </row>
    <row r="11" spans="1:24" x14ac:dyDescent="0.3">
      <c r="A11" s="2">
        <v>10</v>
      </c>
      <c r="B11" s="2" t="s">
        <v>4</v>
      </c>
      <c r="C11" s="2">
        <f>Usinage!C11-Usinage!D11-Usinage!E11</f>
        <v>1680</v>
      </c>
      <c r="D11" s="15">
        <v>54</v>
      </c>
      <c r="E11" s="15">
        <v>151</v>
      </c>
      <c r="G11" s="18">
        <v>47</v>
      </c>
      <c r="H11" s="19">
        <v>9</v>
      </c>
      <c r="I11" s="18">
        <v>25</v>
      </c>
      <c r="J11" s="19">
        <v>24</v>
      </c>
      <c r="L11" s="18">
        <v>123</v>
      </c>
      <c r="O11" s="20">
        <f t="shared" si="0"/>
        <v>150</v>
      </c>
      <c r="P11" s="1">
        <f t="shared" si="1"/>
        <v>960</v>
      </c>
      <c r="Q11">
        <f t="shared" si="2"/>
        <v>777</v>
      </c>
      <c r="R11">
        <f t="shared" si="3"/>
        <v>582</v>
      </c>
      <c r="S11">
        <f t="shared" si="4"/>
        <v>443.52000000000004</v>
      </c>
      <c r="T11">
        <f t="shared" si="5"/>
        <v>389.40000000000003</v>
      </c>
      <c r="U11" s="21">
        <f t="shared" si="6"/>
        <v>0.74903474903474898</v>
      </c>
      <c r="V11" s="21">
        <f t="shared" si="7"/>
        <v>0.87797619047619047</v>
      </c>
      <c r="W11" s="21">
        <f t="shared" si="8"/>
        <v>0.76206185567010321</v>
      </c>
      <c r="X11">
        <f t="shared" si="9"/>
        <v>0.50115830115830118</v>
      </c>
    </row>
    <row r="12" spans="1:24" x14ac:dyDescent="0.3">
      <c r="A12" s="2">
        <v>11</v>
      </c>
      <c r="B12" s="2" t="s">
        <v>3</v>
      </c>
      <c r="C12" s="2">
        <f>Usinage!C12-Usinage!D12-Usinage!E12</f>
        <v>1768</v>
      </c>
      <c r="D12" s="15">
        <v>51</v>
      </c>
      <c r="E12" s="15">
        <v>179</v>
      </c>
      <c r="G12" s="18">
        <v>47</v>
      </c>
      <c r="H12" s="19">
        <v>5</v>
      </c>
      <c r="I12" s="18">
        <v>23</v>
      </c>
      <c r="J12" s="19">
        <v>22</v>
      </c>
      <c r="L12" s="18">
        <v>120</v>
      </c>
      <c r="N12" s="19">
        <v>7</v>
      </c>
      <c r="O12" s="20">
        <f t="shared" si="0"/>
        <v>150</v>
      </c>
      <c r="P12" s="1">
        <f t="shared" si="1"/>
        <v>960</v>
      </c>
      <c r="Q12">
        <f t="shared" si="2"/>
        <v>776</v>
      </c>
      <c r="R12">
        <f t="shared" si="3"/>
        <v>586</v>
      </c>
      <c r="S12">
        <f t="shared" si="4"/>
        <v>466.75200000000001</v>
      </c>
      <c r="T12">
        <f t="shared" si="5"/>
        <v>406.03200000000004</v>
      </c>
      <c r="U12" s="21">
        <f t="shared" si="6"/>
        <v>0.75515463917525771</v>
      </c>
      <c r="V12" s="21">
        <f t="shared" si="7"/>
        <v>0.86990950226244346</v>
      </c>
      <c r="W12" s="21">
        <f t="shared" si="8"/>
        <v>0.79650511945392488</v>
      </c>
      <c r="X12">
        <f t="shared" si="9"/>
        <v>0.5232371134020618</v>
      </c>
    </row>
    <row r="13" spans="1:24" x14ac:dyDescent="0.3">
      <c r="A13" s="2">
        <v>12</v>
      </c>
      <c r="B13" s="2" t="s">
        <v>5</v>
      </c>
      <c r="C13" s="2">
        <f>Usinage!C13-Usinage!D13-Usinage!E13</f>
        <v>1788</v>
      </c>
      <c r="D13" s="15">
        <v>43</v>
      </c>
      <c r="E13" s="15">
        <v>127</v>
      </c>
      <c r="G13" s="18">
        <v>40</v>
      </c>
      <c r="H13" s="19">
        <v>5</v>
      </c>
      <c r="I13" s="18">
        <v>26</v>
      </c>
      <c r="J13" s="19">
        <v>20</v>
      </c>
      <c r="L13" s="18">
        <v>135</v>
      </c>
      <c r="N13" s="19">
        <v>5</v>
      </c>
      <c r="O13" s="20">
        <f t="shared" si="0"/>
        <v>150</v>
      </c>
      <c r="P13" s="1">
        <f t="shared" si="1"/>
        <v>960</v>
      </c>
      <c r="Q13">
        <f t="shared" si="2"/>
        <v>780</v>
      </c>
      <c r="R13">
        <f t="shared" si="3"/>
        <v>579</v>
      </c>
      <c r="S13">
        <f t="shared" si="4"/>
        <v>472.03200000000004</v>
      </c>
      <c r="T13">
        <f t="shared" si="5"/>
        <v>427.15200000000004</v>
      </c>
      <c r="U13" s="21">
        <f t="shared" si="6"/>
        <v>0.74230769230769234</v>
      </c>
      <c r="V13" s="21">
        <f t="shared" si="7"/>
        <v>0.90492170022371365</v>
      </c>
      <c r="W13" s="21">
        <f t="shared" si="8"/>
        <v>0.81525388601036275</v>
      </c>
      <c r="X13">
        <f t="shared" si="9"/>
        <v>0.54763076923076925</v>
      </c>
    </row>
    <row r="14" spans="1:24" x14ac:dyDescent="0.3">
      <c r="A14" s="2">
        <v>13</v>
      </c>
      <c r="B14" s="2" t="s">
        <v>3</v>
      </c>
      <c r="C14" s="2">
        <f>Usinage!C14-Usinage!D14-Usinage!E14</f>
        <v>1658</v>
      </c>
      <c r="D14" s="15">
        <v>59</v>
      </c>
      <c r="E14" s="15">
        <v>179</v>
      </c>
      <c r="G14" s="18">
        <v>39</v>
      </c>
      <c r="H14" s="19">
        <v>7</v>
      </c>
      <c r="I14" s="18">
        <v>22</v>
      </c>
      <c r="J14" s="19">
        <v>24</v>
      </c>
      <c r="L14" s="18">
        <v>138</v>
      </c>
      <c r="N14" s="19">
        <v>7</v>
      </c>
      <c r="O14" s="20">
        <f t="shared" si="0"/>
        <v>150</v>
      </c>
      <c r="P14" s="1">
        <f t="shared" si="1"/>
        <v>960</v>
      </c>
      <c r="Q14">
        <f t="shared" si="2"/>
        <v>772</v>
      </c>
      <c r="R14">
        <f t="shared" si="3"/>
        <v>573</v>
      </c>
      <c r="S14">
        <f t="shared" si="4"/>
        <v>437.71200000000005</v>
      </c>
      <c r="T14">
        <f t="shared" si="5"/>
        <v>374.88</v>
      </c>
      <c r="U14" s="21">
        <f t="shared" si="6"/>
        <v>0.74222797927461137</v>
      </c>
      <c r="V14" s="21">
        <f t="shared" si="7"/>
        <v>0.856453558504222</v>
      </c>
      <c r="W14" s="21">
        <f t="shared" si="8"/>
        <v>0.76389528795811523</v>
      </c>
      <c r="X14">
        <f t="shared" si="9"/>
        <v>0.48559585492227986</v>
      </c>
    </row>
    <row r="15" spans="1:24" x14ac:dyDescent="0.3">
      <c r="A15" s="2">
        <v>14</v>
      </c>
      <c r="B15" s="2" t="s">
        <v>5</v>
      </c>
      <c r="C15" s="2">
        <f>Usinage!C15-Usinage!D15-Usinage!E15</f>
        <v>1735</v>
      </c>
      <c r="D15" s="15">
        <v>46</v>
      </c>
      <c r="E15" s="15">
        <v>149</v>
      </c>
      <c r="G15" s="18">
        <v>28</v>
      </c>
      <c r="H15" s="19">
        <v>10</v>
      </c>
      <c r="I15" s="18">
        <v>22</v>
      </c>
      <c r="J15" s="19">
        <v>22</v>
      </c>
      <c r="L15" s="18">
        <v>140</v>
      </c>
      <c r="O15" s="20">
        <f t="shared" si="0"/>
        <v>150</v>
      </c>
      <c r="P15" s="1">
        <f t="shared" si="1"/>
        <v>960</v>
      </c>
      <c r="Q15">
        <f t="shared" si="2"/>
        <v>778</v>
      </c>
      <c r="R15">
        <f t="shared" si="3"/>
        <v>588</v>
      </c>
      <c r="S15">
        <f t="shared" si="4"/>
        <v>458.04</v>
      </c>
      <c r="T15">
        <f t="shared" si="5"/>
        <v>406.56</v>
      </c>
      <c r="U15" s="21">
        <f t="shared" si="6"/>
        <v>0.75578406169665813</v>
      </c>
      <c r="V15" s="21">
        <f t="shared" si="7"/>
        <v>0.88760806916426516</v>
      </c>
      <c r="W15" s="21">
        <f t="shared" si="8"/>
        <v>0.77897959183673471</v>
      </c>
      <c r="X15">
        <f t="shared" si="9"/>
        <v>0.52257069408740364</v>
      </c>
    </row>
    <row r="16" spans="1:24" x14ac:dyDescent="0.3">
      <c r="A16" s="2">
        <v>15</v>
      </c>
      <c r="B16" s="2" t="s">
        <v>2</v>
      </c>
      <c r="C16" s="2">
        <f>Usinage!C16-Usinage!D16-Usinage!E16</f>
        <v>1753</v>
      </c>
      <c r="D16" s="15">
        <v>60</v>
      </c>
      <c r="E16" s="15">
        <v>177</v>
      </c>
      <c r="G16" s="18">
        <v>41</v>
      </c>
      <c r="H16" s="19">
        <v>8</v>
      </c>
      <c r="I16" s="18">
        <v>28</v>
      </c>
      <c r="J16" s="19">
        <v>23</v>
      </c>
      <c r="L16" s="18">
        <v>137</v>
      </c>
      <c r="O16" s="20">
        <f t="shared" si="0"/>
        <v>150</v>
      </c>
      <c r="P16" s="1">
        <f t="shared" si="1"/>
        <v>960</v>
      </c>
      <c r="Q16">
        <f t="shared" si="2"/>
        <v>779</v>
      </c>
      <c r="R16">
        <f t="shared" si="3"/>
        <v>573</v>
      </c>
      <c r="S16">
        <f t="shared" si="4"/>
        <v>462.79200000000003</v>
      </c>
      <c r="T16">
        <f t="shared" si="5"/>
        <v>400.22400000000005</v>
      </c>
      <c r="U16" s="21">
        <f t="shared" si="6"/>
        <v>0.7355584082156611</v>
      </c>
      <c r="V16" s="21">
        <f t="shared" si="7"/>
        <v>0.86480319452367371</v>
      </c>
      <c r="W16" s="21">
        <f t="shared" si="8"/>
        <v>0.80766492146596869</v>
      </c>
      <c r="X16">
        <f t="shared" si="9"/>
        <v>0.51376636713735568</v>
      </c>
    </row>
    <row r="17" spans="1:24" x14ac:dyDescent="0.3">
      <c r="A17" s="2">
        <v>16</v>
      </c>
      <c r="B17" s="2" t="s">
        <v>4</v>
      </c>
      <c r="C17" s="2">
        <f>Usinage!C17-Usinage!D17-Usinage!E17</f>
        <v>1567</v>
      </c>
      <c r="D17" s="15">
        <v>48</v>
      </c>
      <c r="E17" s="15">
        <v>146</v>
      </c>
      <c r="F17" s="18">
        <v>43</v>
      </c>
      <c r="G17" s="18">
        <v>27</v>
      </c>
      <c r="H17" s="19">
        <v>10</v>
      </c>
      <c r="I17" s="18">
        <v>22</v>
      </c>
      <c r="J17" s="19">
        <v>25</v>
      </c>
      <c r="L17" s="18">
        <v>123</v>
      </c>
      <c r="N17" s="19">
        <v>8</v>
      </c>
      <c r="O17" s="20">
        <f t="shared" si="0"/>
        <v>150</v>
      </c>
      <c r="P17" s="1">
        <f t="shared" si="1"/>
        <v>960</v>
      </c>
      <c r="Q17">
        <f t="shared" si="2"/>
        <v>767</v>
      </c>
      <c r="R17">
        <f t="shared" si="3"/>
        <v>552</v>
      </c>
      <c r="S17">
        <f t="shared" si="4"/>
        <v>413.68800000000005</v>
      </c>
      <c r="T17">
        <f t="shared" si="5"/>
        <v>362.47200000000004</v>
      </c>
      <c r="U17" s="21">
        <f t="shared" si="6"/>
        <v>0.71968709256844854</v>
      </c>
      <c r="V17" s="21">
        <f t="shared" si="7"/>
        <v>0.87619655392469686</v>
      </c>
      <c r="W17" s="21">
        <f t="shared" si="8"/>
        <v>0.74943478260869578</v>
      </c>
      <c r="X17">
        <f t="shared" si="9"/>
        <v>0.4725840938722296</v>
      </c>
    </row>
    <row r="18" spans="1:24" x14ac:dyDescent="0.3">
      <c r="A18" s="2">
        <v>17</v>
      </c>
      <c r="B18" s="2" t="s">
        <v>3</v>
      </c>
      <c r="C18" s="2">
        <f>Usinage!C18-Usinage!D18-Usinage!E18</f>
        <v>1627</v>
      </c>
      <c r="D18" s="15">
        <v>45</v>
      </c>
      <c r="E18" s="15">
        <v>143</v>
      </c>
      <c r="G18" s="18">
        <v>24</v>
      </c>
      <c r="H18" s="19">
        <v>6</v>
      </c>
      <c r="I18" s="18">
        <v>27</v>
      </c>
      <c r="J18" s="19">
        <v>23</v>
      </c>
      <c r="L18" s="18">
        <v>133</v>
      </c>
      <c r="N18" s="19">
        <v>8</v>
      </c>
      <c r="O18" s="20">
        <f t="shared" si="0"/>
        <v>150</v>
      </c>
      <c r="P18" s="1">
        <f t="shared" si="1"/>
        <v>960</v>
      </c>
      <c r="Q18">
        <f t="shared" si="2"/>
        <v>773</v>
      </c>
      <c r="R18">
        <f t="shared" si="3"/>
        <v>589</v>
      </c>
      <c r="S18">
        <f t="shared" si="4"/>
        <v>429.52800000000002</v>
      </c>
      <c r="T18">
        <f t="shared" si="5"/>
        <v>379.89600000000002</v>
      </c>
      <c r="U18" s="21">
        <f t="shared" si="6"/>
        <v>0.76196636481241919</v>
      </c>
      <c r="V18" s="21">
        <f t="shared" si="7"/>
        <v>0.88444990780577748</v>
      </c>
      <c r="W18" s="21">
        <f t="shared" si="8"/>
        <v>0.72924957555178271</v>
      </c>
      <c r="X18">
        <f t="shared" si="9"/>
        <v>0.49145666235446317</v>
      </c>
    </row>
    <row r="19" spans="1:24" x14ac:dyDescent="0.3">
      <c r="A19" s="2">
        <v>18</v>
      </c>
      <c r="B19" s="2" t="s">
        <v>5</v>
      </c>
      <c r="C19" s="2">
        <f>Usinage!C19-Usinage!D19-Usinage!E19</f>
        <v>1755</v>
      </c>
      <c r="D19" s="15">
        <v>50</v>
      </c>
      <c r="E19" s="15">
        <v>170</v>
      </c>
      <c r="G19" s="18">
        <v>29</v>
      </c>
      <c r="H19" s="19">
        <v>5</v>
      </c>
      <c r="I19" s="18">
        <v>24</v>
      </c>
      <c r="J19" s="19">
        <v>25</v>
      </c>
      <c r="L19" s="18">
        <v>117</v>
      </c>
      <c r="O19" s="20">
        <f t="shared" si="0"/>
        <v>150</v>
      </c>
      <c r="P19" s="1">
        <f t="shared" si="1"/>
        <v>960</v>
      </c>
      <c r="Q19">
        <f t="shared" si="2"/>
        <v>780</v>
      </c>
      <c r="R19">
        <f t="shared" si="3"/>
        <v>610</v>
      </c>
      <c r="S19">
        <f t="shared" si="4"/>
        <v>463.32000000000005</v>
      </c>
      <c r="T19">
        <f t="shared" si="5"/>
        <v>405.24</v>
      </c>
      <c r="U19" s="21">
        <f t="shared" si="6"/>
        <v>0.78205128205128205</v>
      </c>
      <c r="V19" s="21">
        <f t="shared" si="7"/>
        <v>0.87464387464387461</v>
      </c>
      <c r="W19" s="21">
        <f t="shared" si="8"/>
        <v>0.75954098360655742</v>
      </c>
      <c r="X19">
        <f t="shared" si="9"/>
        <v>0.51953846153846162</v>
      </c>
    </row>
    <row r="20" spans="1:24" x14ac:dyDescent="0.3">
      <c r="A20" s="2">
        <v>19</v>
      </c>
      <c r="B20" s="2" t="s">
        <v>4</v>
      </c>
      <c r="C20" s="2">
        <f>Usinage!C20-Usinage!D20-Usinage!E20</f>
        <v>1767</v>
      </c>
      <c r="D20" s="15">
        <v>44</v>
      </c>
      <c r="E20" s="15">
        <v>186</v>
      </c>
      <c r="G20" s="18">
        <v>36</v>
      </c>
      <c r="H20" s="19">
        <v>7</v>
      </c>
      <c r="I20" s="18">
        <v>25</v>
      </c>
      <c r="J20" s="19">
        <v>24</v>
      </c>
      <c r="L20" s="18">
        <v>120</v>
      </c>
      <c r="N20" s="19">
        <v>5</v>
      </c>
      <c r="O20" s="20">
        <f t="shared" si="0"/>
        <v>150</v>
      </c>
      <c r="P20" s="1">
        <f t="shared" si="1"/>
        <v>960</v>
      </c>
      <c r="Q20">
        <f t="shared" si="2"/>
        <v>774</v>
      </c>
      <c r="R20">
        <f t="shared" si="3"/>
        <v>593</v>
      </c>
      <c r="S20">
        <f t="shared" si="4"/>
        <v>466.488</v>
      </c>
      <c r="T20">
        <f t="shared" si="5"/>
        <v>405.76800000000003</v>
      </c>
      <c r="U20" s="21">
        <f t="shared" si="6"/>
        <v>0.76614987080103358</v>
      </c>
      <c r="V20" s="21">
        <f t="shared" si="7"/>
        <v>0.86983588002263723</v>
      </c>
      <c r="W20" s="21">
        <f t="shared" si="8"/>
        <v>0.78665767284991572</v>
      </c>
      <c r="X20">
        <f t="shared" si="9"/>
        <v>0.52424806201550389</v>
      </c>
    </row>
    <row r="21" spans="1:24" x14ac:dyDescent="0.3">
      <c r="A21" s="2">
        <v>20</v>
      </c>
      <c r="B21" s="2" t="s">
        <v>3</v>
      </c>
      <c r="C21" s="2">
        <f>Usinage!C21-Usinage!D21-Usinage!E21</f>
        <v>1704</v>
      </c>
      <c r="D21" s="15">
        <v>59</v>
      </c>
      <c r="E21" s="15">
        <v>132</v>
      </c>
      <c r="G21" s="18">
        <v>39</v>
      </c>
      <c r="H21" s="19">
        <v>7</v>
      </c>
      <c r="I21" s="18">
        <v>21</v>
      </c>
      <c r="J21" s="19">
        <v>20</v>
      </c>
      <c r="L21" s="18">
        <v>91</v>
      </c>
      <c r="N21" s="19">
        <v>7</v>
      </c>
      <c r="O21" s="20">
        <f t="shared" si="0"/>
        <v>150</v>
      </c>
      <c r="P21" s="1">
        <f t="shared" si="1"/>
        <v>960</v>
      </c>
      <c r="Q21">
        <f t="shared" si="2"/>
        <v>776</v>
      </c>
      <c r="R21">
        <f t="shared" si="3"/>
        <v>625</v>
      </c>
      <c r="S21">
        <f t="shared" si="4"/>
        <v>449.85599999999999</v>
      </c>
      <c r="T21">
        <f t="shared" si="5"/>
        <v>399.43200000000002</v>
      </c>
      <c r="U21" s="21">
        <f t="shared" si="6"/>
        <v>0.80541237113402064</v>
      </c>
      <c r="V21" s="21">
        <f t="shared" si="7"/>
        <v>0.88791079812206575</v>
      </c>
      <c r="W21" s="21">
        <f t="shared" si="8"/>
        <v>0.71976960000000001</v>
      </c>
      <c r="X21">
        <f t="shared" si="9"/>
        <v>0.51473195876288669</v>
      </c>
    </row>
    <row r="22" spans="1:24" x14ac:dyDescent="0.3">
      <c r="A22" s="2">
        <v>21</v>
      </c>
      <c r="B22" s="2" t="s">
        <v>2</v>
      </c>
      <c r="C22" s="2">
        <f>Usinage!C22-Usinage!D22-Usinage!E22</f>
        <v>1791</v>
      </c>
      <c r="D22" s="15">
        <v>42</v>
      </c>
      <c r="E22" s="15">
        <v>175</v>
      </c>
      <c r="G22" s="18">
        <v>33</v>
      </c>
      <c r="H22" s="19">
        <v>7</v>
      </c>
      <c r="I22" s="18">
        <v>25</v>
      </c>
      <c r="J22" s="19">
        <v>25</v>
      </c>
      <c r="L22" s="18">
        <v>119</v>
      </c>
      <c r="O22" s="20">
        <f t="shared" si="0"/>
        <v>150</v>
      </c>
      <c r="P22" s="1">
        <f t="shared" si="1"/>
        <v>960</v>
      </c>
      <c r="Q22">
        <f t="shared" si="2"/>
        <v>778</v>
      </c>
      <c r="R22">
        <f t="shared" si="3"/>
        <v>601</v>
      </c>
      <c r="S22">
        <f t="shared" si="4"/>
        <v>472.82400000000001</v>
      </c>
      <c r="T22">
        <f t="shared" si="5"/>
        <v>415.536</v>
      </c>
      <c r="U22" s="21">
        <f t="shared" si="6"/>
        <v>0.77249357326478152</v>
      </c>
      <c r="V22" s="21">
        <f t="shared" si="7"/>
        <v>0.8788386376326075</v>
      </c>
      <c r="W22" s="21">
        <f t="shared" si="8"/>
        <v>0.78672878535773716</v>
      </c>
      <c r="X22">
        <f t="shared" si="9"/>
        <v>0.53410796915167102</v>
      </c>
    </row>
    <row r="23" spans="1:24" x14ac:dyDescent="0.3">
      <c r="A23" s="2">
        <v>22</v>
      </c>
      <c r="B23" s="2" t="s">
        <v>4</v>
      </c>
      <c r="C23" s="2">
        <f>Usinage!C23-Usinage!D23-Usinage!E23</f>
        <v>1790</v>
      </c>
      <c r="D23" s="15">
        <v>44</v>
      </c>
      <c r="E23" s="15">
        <v>169</v>
      </c>
      <c r="F23" s="18">
        <v>50</v>
      </c>
      <c r="G23" s="18">
        <v>48</v>
      </c>
      <c r="H23" s="19">
        <v>7</v>
      </c>
      <c r="I23" s="18">
        <v>21</v>
      </c>
      <c r="J23" s="19">
        <v>22</v>
      </c>
      <c r="L23" s="18">
        <v>124</v>
      </c>
      <c r="O23" s="20">
        <f t="shared" si="0"/>
        <v>150</v>
      </c>
      <c r="P23" s="1">
        <f t="shared" si="1"/>
        <v>960</v>
      </c>
      <c r="Q23">
        <f t="shared" si="2"/>
        <v>781</v>
      </c>
      <c r="R23">
        <f t="shared" si="3"/>
        <v>538</v>
      </c>
      <c r="S23">
        <f t="shared" si="4"/>
        <v>472.56</v>
      </c>
      <c r="T23">
        <f t="shared" si="5"/>
        <v>416.32800000000003</v>
      </c>
      <c r="U23" s="21">
        <f t="shared" si="6"/>
        <v>0.68886043533930863</v>
      </c>
      <c r="V23" s="21">
        <f t="shared" si="7"/>
        <v>0.88100558659217876</v>
      </c>
      <c r="W23" s="21">
        <f t="shared" si="8"/>
        <v>0.87836431226765799</v>
      </c>
      <c r="X23">
        <f t="shared" si="9"/>
        <v>0.53307042253521131</v>
      </c>
    </row>
    <row r="24" spans="1:24" x14ac:dyDescent="0.3">
      <c r="A24" s="2">
        <v>23</v>
      </c>
      <c r="B24" s="2" t="s">
        <v>3</v>
      </c>
      <c r="C24" s="2">
        <f>Usinage!C24-Usinage!D24-Usinage!E24</f>
        <v>1699</v>
      </c>
      <c r="D24" s="15">
        <v>58</v>
      </c>
      <c r="E24" s="15">
        <v>168</v>
      </c>
      <c r="F24" s="18">
        <v>45</v>
      </c>
      <c r="G24" s="18">
        <v>47</v>
      </c>
      <c r="H24" s="19">
        <v>7</v>
      </c>
      <c r="I24" s="18">
        <v>27</v>
      </c>
      <c r="J24" s="19">
        <v>22</v>
      </c>
      <c r="L24" s="18">
        <v>101</v>
      </c>
      <c r="O24" s="20">
        <f t="shared" si="0"/>
        <v>150</v>
      </c>
      <c r="P24" s="1">
        <f t="shared" si="1"/>
        <v>960</v>
      </c>
      <c r="Q24">
        <f t="shared" si="2"/>
        <v>781</v>
      </c>
      <c r="R24">
        <f t="shared" si="3"/>
        <v>561</v>
      </c>
      <c r="S24">
        <f t="shared" si="4"/>
        <v>448.536</v>
      </c>
      <c r="T24">
        <f t="shared" si="5"/>
        <v>388.87200000000001</v>
      </c>
      <c r="U24" s="21">
        <f t="shared" si="6"/>
        <v>0.71830985915492962</v>
      </c>
      <c r="V24" s="21">
        <f t="shared" si="7"/>
        <v>0.86698057680988816</v>
      </c>
      <c r="W24" s="21">
        <f t="shared" si="8"/>
        <v>0.79952941176470593</v>
      </c>
      <c r="X24">
        <f t="shared" si="9"/>
        <v>0.49791549295774651</v>
      </c>
    </row>
    <row r="25" spans="1:24" x14ac:dyDescent="0.3">
      <c r="A25" s="2">
        <v>24</v>
      </c>
      <c r="B25" s="2" t="s">
        <v>5</v>
      </c>
      <c r="C25" s="2">
        <f>Usinage!C25-Usinage!D25-Usinage!E25</f>
        <v>1646</v>
      </c>
      <c r="D25" s="15">
        <v>58</v>
      </c>
      <c r="E25" s="15">
        <v>174</v>
      </c>
      <c r="F25" s="18">
        <v>41</v>
      </c>
      <c r="G25" s="18">
        <v>42</v>
      </c>
      <c r="H25" s="19">
        <v>9</v>
      </c>
      <c r="I25" s="18">
        <v>19</v>
      </c>
      <c r="J25" s="19">
        <v>22</v>
      </c>
      <c r="L25" s="18">
        <v>128</v>
      </c>
      <c r="O25" s="20">
        <f t="shared" si="0"/>
        <v>150</v>
      </c>
      <c r="P25" s="1">
        <f t="shared" si="1"/>
        <v>960</v>
      </c>
      <c r="Q25">
        <f t="shared" si="2"/>
        <v>779</v>
      </c>
      <c r="R25">
        <f t="shared" si="3"/>
        <v>549</v>
      </c>
      <c r="S25">
        <f t="shared" si="4"/>
        <v>434.54400000000004</v>
      </c>
      <c r="T25">
        <f t="shared" si="5"/>
        <v>373.29599999999999</v>
      </c>
      <c r="U25" s="21">
        <f t="shared" si="6"/>
        <v>0.70474967907573816</v>
      </c>
      <c r="V25" s="21">
        <f t="shared" si="7"/>
        <v>0.8590522478736331</v>
      </c>
      <c r="W25" s="21">
        <f t="shared" si="8"/>
        <v>0.79151912568306015</v>
      </c>
      <c r="X25">
        <f t="shared" si="9"/>
        <v>0.47919897304236209</v>
      </c>
    </row>
    <row r="26" spans="1:24" x14ac:dyDescent="0.3">
      <c r="A26" s="2">
        <v>25</v>
      </c>
      <c r="B26" s="2" t="s">
        <v>4</v>
      </c>
      <c r="C26" s="2">
        <f>Usinage!C26-Usinage!D26-Usinage!E26</f>
        <v>1748</v>
      </c>
      <c r="D26" s="15">
        <v>48</v>
      </c>
      <c r="E26" s="15">
        <v>183</v>
      </c>
      <c r="G26" s="18">
        <v>17</v>
      </c>
      <c r="H26" s="19">
        <v>10</v>
      </c>
      <c r="I26" s="18">
        <v>30</v>
      </c>
      <c r="J26" s="19">
        <v>21</v>
      </c>
      <c r="L26" s="18">
        <v>104</v>
      </c>
      <c r="O26" s="20">
        <f t="shared" si="0"/>
        <v>150</v>
      </c>
      <c r="P26" s="1">
        <f t="shared" si="1"/>
        <v>960</v>
      </c>
      <c r="Q26">
        <f t="shared" si="2"/>
        <v>779</v>
      </c>
      <c r="R26">
        <f t="shared" si="3"/>
        <v>628</v>
      </c>
      <c r="S26">
        <f t="shared" si="4"/>
        <v>461.47200000000004</v>
      </c>
      <c r="T26">
        <f t="shared" si="5"/>
        <v>400.488</v>
      </c>
      <c r="U26" s="21">
        <f t="shared" si="6"/>
        <v>0.80616174582798461</v>
      </c>
      <c r="V26" s="21">
        <f t="shared" si="7"/>
        <v>0.86784897025171626</v>
      </c>
      <c r="W26" s="21">
        <f t="shared" si="8"/>
        <v>0.73482802547770709</v>
      </c>
      <c r="X26">
        <f t="shared" si="9"/>
        <v>0.51410526315789484</v>
      </c>
    </row>
    <row r="27" spans="1:24" x14ac:dyDescent="0.3">
      <c r="A27" s="2">
        <v>26</v>
      </c>
      <c r="B27" s="2" t="s">
        <v>3</v>
      </c>
      <c r="C27" s="2">
        <f>Usinage!C27-Usinage!D27-Usinage!E27</f>
        <v>1690</v>
      </c>
      <c r="D27" s="15">
        <v>40</v>
      </c>
      <c r="E27" s="15">
        <v>177</v>
      </c>
      <c r="G27" s="18">
        <v>40</v>
      </c>
      <c r="H27" s="19">
        <v>5</v>
      </c>
      <c r="I27" s="18">
        <v>28</v>
      </c>
      <c r="J27" s="19">
        <v>21</v>
      </c>
      <c r="L27" s="18">
        <v>132</v>
      </c>
      <c r="N27" s="19">
        <v>8</v>
      </c>
      <c r="O27" s="20">
        <f t="shared" si="0"/>
        <v>150</v>
      </c>
      <c r="P27" s="1">
        <f t="shared" si="1"/>
        <v>960</v>
      </c>
      <c r="Q27">
        <f t="shared" si="2"/>
        <v>776</v>
      </c>
      <c r="R27">
        <f t="shared" si="3"/>
        <v>576</v>
      </c>
      <c r="S27">
        <f t="shared" si="4"/>
        <v>446.16</v>
      </c>
      <c r="T27">
        <f t="shared" si="5"/>
        <v>388.87200000000001</v>
      </c>
      <c r="U27" s="21">
        <f t="shared" si="6"/>
        <v>0.74226804123711343</v>
      </c>
      <c r="V27" s="21">
        <f t="shared" si="7"/>
        <v>0.87159763313609473</v>
      </c>
      <c r="W27" s="21">
        <f t="shared" si="8"/>
        <v>0.7745833333333334</v>
      </c>
      <c r="X27">
        <f t="shared" si="9"/>
        <v>0.50112371134020628</v>
      </c>
    </row>
    <row r="28" spans="1:24" x14ac:dyDescent="0.3">
      <c r="A28" s="2">
        <v>27</v>
      </c>
      <c r="B28" s="2" t="s">
        <v>5</v>
      </c>
      <c r="C28" s="2">
        <f>Usinage!C28-Usinage!D28-Usinage!E28</f>
        <v>1580</v>
      </c>
      <c r="D28" s="15">
        <v>57</v>
      </c>
      <c r="E28" s="15">
        <v>161</v>
      </c>
      <c r="G28" s="18">
        <v>45</v>
      </c>
      <c r="H28" s="19">
        <v>9</v>
      </c>
      <c r="I28" s="18">
        <v>20</v>
      </c>
      <c r="J28" s="19">
        <v>24</v>
      </c>
      <c r="L28" s="18">
        <v>135</v>
      </c>
      <c r="O28" s="20">
        <f t="shared" si="0"/>
        <v>150</v>
      </c>
      <c r="P28" s="1">
        <f t="shared" si="1"/>
        <v>960</v>
      </c>
      <c r="Q28">
        <f t="shared" si="2"/>
        <v>777</v>
      </c>
      <c r="R28">
        <f t="shared" si="3"/>
        <v>577</v>
      </c>
      <c r="S28">
        <f t="shared" si="4"/>
        <v>417.12</v>
      </c>
      <c r="T28">
        <f t="shared" si="5"/>
        <v>359.56800000000004</v>
      </c>
      <c r="U28" s="21">
        <f t="shared" si="6"/>
        <v>0.7425997425997426</v>
      </c>
      <c r="V28" s="21">
        <f t="shared" si="7"/>
        <v>0.86202531645569624</v>
      </c>
      <c r="W28" s="21">
        <f t="shared" si="8"/>
        <v>0.72291161178509533</v>
      </c>
      <c r="X28">
        <f t="shared" si="9"/>
        <v>0.46276447876447879</v>
      </c>
    </row>
    <row r="29" spans="1:24" x14ac:dyDescent="0.3">
      <c r="A29" s="2">
        <v>28</v>
      </c>
      <c r="B29" s="2" t="s">
        <v>5</v>
      </c>
      <c r="C29" s="2">
        <f>Usinage!C29-Usinage!D29-Usinage!E29</f>
        <v>1611</v>
      </c>
      <c r="D29" s="15">
        <v>47</v>
      </c>
      <c r="E29" s="15">
        <v>145</v>
      </c>
      <c r="G29" s="18">
        <v>22</v>
      </c>
      <c r="H29" s="19">
        <v>6</v>
      </c>
      <c r="I29" s="18">
        <v>27</v>
      </c>
      <c r="J29" s="19">
        <v>22</v>
      </c>
      <c r="L29" s="18">
        <v>112</v>
      </c>
      <c r="O29" s="20">
        <f t="shared" si="0"/>
        <v>150</v>
      </c>
      <c r="P29" s="1">
        <f t="shared" si="1"/>
        <v>960</v>
      </c>
      <c r="Q29">
        <f t="shared" si="2"/>
        <v>782</v>
      </c>
      <c r="R29">
        <f t="shared" si="3"/>
        <v>621</v>
      </c>
      <c r="S29">
        <f t="shared" si="4"/>
        <v>425.30400000000003</v>
      </c>
      <c r="T29">
        <f t="shared" si="5"/>
        <v>374.61600000000004</v>
      </c>
      <c r="U29" s="21">
        <f t="shared" si="6"/>
        <v>0.79411764705882348</v>
      </c>
      <c r="V29" s="21">
        <f t="shared" si="7"/>
        <v>0.88081936685288642</v>
      </c>
      <c r="W29" s="21">
        <f t="shared" si="8"/>
        <v>0.6848695652173914</v>
      </c>
      <c r="X29">
        <f t="shared" si="9"/>
        <v>0.47904859335038369</v>
      </c>
    </row>
    <row r="30" spans="1:24" x14ac:dyDescent="0.3">
      <c r="A30" s="2">
        <v>29</v>
      </c>
      <c r="B30" s="2" t="s">
        <v>4</v>
      </c>
      <c r="C30" s="2">
        <f>Usinage!C30-Usinage!D30-Usinage!E30</f>
        <v>1723</v>
      </c>
      <c r="D30" s="15">
        <v>43</v>
      </c>
      <c r="E30" s="15">
        <v>144</v>
      </c>
      <c r="G30" s="18">
        <v>33</v>
      </c>
      <c r="H30" s="19">
        <v>10</v>
      </c>
      <c r="I30" s="18">
        <v>25</v>
      </c>
      <c r="J30" s="19">
        <v>22</v>
      </c>
      <c r="L30" s="18">
        <v>110</v>
      </c>
      <c r="O30" s="20">
        <f t="shared" si="0"/>
        <v>150</v>
      </c>
      <c r="P30" s="1">
        <f t="shared" si="1"/>
        <v>960</v>
      </c>
      <c r="Q30">
        <f t="shared" si="2"/>
        <v>778</v>
      </c>
      <c r="R30">
        <f t="shared" si="3"/>
        <v>610</v>
      </c>
      <c r="S30">
        <f t="shared" si="4"/>
        <v>454.87200000000001</v>
      </c>
      <c r="T30">
        <f t="shared" si="5"/>
        <v>405.50400000000002</v>
      </c>
      <c r="U30" s="21">
        <f t="shared" si="6"/>
        <v>0.78406169665809766</v>
      </c>
      <c r="V30" s="21">
        <f t="shared" si="7"/>
        <v>0.8914683691236216</v>
      </c>
      <c r="W30" s="21">
        <f t="shared" si="8"/>
        <v>0.74569180327868856</v>
      </c>
      <c r="X30">
        <f t="shared" si="9"/>
        <v>0.52121336760925452</v>
      </c>
    </row>
    <row r="31" spans="1:24" x14ac:dyDescent="0.3">
      <c r="A31" s="2">
        <v>30</v>
      </c>
      <c r="B31" s="2" t="s">
        <v>3</v>
      </c>
      <c r="C31" s="2">
        <f>Usinage!C31-Usinage!D31-Usinage!E31</f>
        <v>1742</v>
      </c>
      <c r="D31" s="15">
        <v>50</v>
      </c>
      <c r="E31" s="15">
        <v>162</v>
      </c>
      <c r="G31" s="18">
        <v>27</v>
      </c>
      <c r="H31" s="19">
        <v>5</v>
      </c>
      <c r="I31" s="18">
        <v>25</v>
      </c>
      <c r="J31" s="19">
        <v>23</v>
      </c>
      <c r="L31" s="18">
        <v>140</v>
      </c>
      <c r="N31" s="19">
        <v>10</v>
      </c>
      <c r="O31" s="20">
        <f t="shared" si="0"/>
        <v>150</v>
      </c>
      <c r="P31" s="1">
        <f t="shared" si="1"/>
        <v>960</v>
      </c>
      <c r="Q31">
        <f t="shared" si="2"/>
        <v>772</v>
      </c>
      <c r="R31">
        <f t="shared" si="3"/>
        <v>580</v>
      </c>
      <c r="S31">
        <f t="shared" si="4"/>
        <v>459.88800000000003</v>
      </c>
      <c r="T31">
        <f t="shared" si="5"/>
        <v>403.92</v>
      </c>
      <c r="U31" s="21">
        <f t="shared" si="6"/>
        <v>0.75129533678756477</v>
      </c>
      <c r="V31" s="21">
        <f t="shared" si="7"/>
        <v>0.87830080367393804</v>
      </c>
      <c r="W31" s="21">
        <f t="shared" si="8"/>
        <v>0.79291034482758627</v>
      </c>
      <c r="X31">
        <f t="shared" si="9"/>
        <v>0.52321243523316063</v>
      </c>
    </row>
    <row r="32" spans="1:24" x14ac:dyDescent="0.3">
      <c r="A32" s="2">
        <v>31</v>
      </c>
      <c r="B32" s="2" t="s">
        <v>2</v>
      </c>
      <c r="C32" s="2">
        <f>Usinage!C32-Usinage!D32-Usinage!E32</f>
        <v>1700</v>
      </c>
      <c r="D32" s="15">
        <v>54</v>
      </c>
      <c r="E32" s="15">
        <v>141</v>
      </c>
      <c r="G32" s="18">
        <v>25</v>
      </c>
      <c r="H32" s="19">
        <v>9</v>
      </c>
      <c r="I32" s="18">
        <v>23</v>
      </c>
      <c r="J32" s="19">
        <v>24</v>
      </c>
      <c r="L32" s="18">
        <v>107</v>
      </c>
      <c r="O32" s="20">
        <f t="shared" si="0"/>
        <v>150</v>
      </c>
      <c r="P32" s="1">
        <f t="shared" si="1"/>
        <v>960</v>
      </c>
      <c r="Q32">
        <f t="shared" si="2"/>
        <v>777</v>
      </c>
      <c r="R32">
        <f t="shared" si="3"/>
        <v>622</v>
      </c>
      <c r="S32">
        <f t="shared" si="4"/>
        <v>448.8</v>
      </c>
      <c r="T32">
        <f t="shared" si="5"/>
        <v>397.32</v>
      </c>
      <c r="U32" s="21">
        <f t="shared" si="6"/>
        <v>0.80051480051480051</v>
      </c>
      <c r="V32" s="21">
        <f t="shared" si="7"/>
        <v>0.88529411764705879</v>
      </c>
      <c r="W32" s="21">
        <f t="shared" si="8"/>
        <v>0.72154340836012865</v>
      </c>
      <c r="X32">
        <f t="shared" si="9"/>
        <v>0.51135135135135135</v>
      </c>
    </row>
    <row r="33" spans="1:24" x14ac:dyDescent="0.3">
      <c r="A33" s="2">
        <v>32</v>
      </c>
      <c r="B33" s="2" t="s">
        <v>4</v>
      </c>
      <c r="C33" s="2">
        <f>Usinage!C33-Usinage!D33-Usinage!E33</f>
        <v>1616</v>
      </c>
      <c r="D33" s="15">
        <v>41</v>
      </c>
      <c r="E33" s="15">
        <v>171</v>
      </c>
      <c r="G33" s="18">
        <v>54</v>
      </c>
      <c r="H33" s="19">
        <v>8</v>
      </c>
      <c r="I33" s="18">
        <v>28</v>
      </c>
      <c r="J33" s="19">
        <v>25</v>
      </c>
      <c r="L33" s="18">
        <v>109</v>
      </c>
      <c r="O33" s="20">
        <f t="shared" si="0"/>
        <v>150</v>
      </c>
      <c r="P33" s="1">
        <f t="shared" si="1"/>
        <v>960</v>
      </c>
      <c r="Q33">
        <f t="shared" si="2"/>
        <v>777</v>
      </c>
      <c r="R33">
        <f t="shared" si="3"/>
        <v>586</v>
      </c>
      <c r="S33">
        <f t="shared" si="4"/>
        <v>426.62400000000002</v>
      </c>
      <c r="T33">
        <f t="shared" si="5"/>
        <v>370.65600000000001</v>
      </c>
      <c r="U33" s="21">
        <f t="shared" si="6"/>
        <v>0.75418275418275416</v>
      </c>
      <c r="V33" s="21">
        <f t="shared" si="7"/>
        <v>0.86881188118811881</v>
      </c>
      <c r="W33" s="21">
        <f t="shared" si="8"/>
        <v>0.72802730375426628</v>
      </c>
      <c r="X33">
        <f t="shared" si="9"/>
        <v>0.47703474903474907</v>
      </c>
    </row>
    <row r="34" spans="1:24" x14ac:dyDescent="0.3">
      <c r="A34" s="2">
        <v>33</v>
      </c>
      <c r="B34" s="2" t="s">
        <v>3</v>
      </c>
      <c r="C34" s="2">
        <f>Usinage!C34-Usinage!D34-Usinage!E34</f>
        <v>1624</v>
      </c>
      <c r="D34" s="15">
        <v>58</v>
      </c>
      <c r="E34" s="15">
        <v>143</v>
      </c>
      <c r="G34" s="18">
        <v>49</v>
      </c>
      <c r="H34" s="19">
        <v>7</v>
      </c>
      <c r="I34" s="18">
        <v>30</v>
      </c>
      <c r="J34" s="19">
        <v>25</v>
      </c>
      <c r="L34" s="18">
        <v>113</v>
      </c>
      <c r="O34" s="20">
        <f t="shared" si="0"/>
        <v>150</v>
      </c>
      <c r="P34" s="1">
        <f t="shared" si="1"/>
        <v>960</v>
      </c>
      <c r="Q34">
        <f t="shared" si="2"/>
        <v>778</v>
      </c>
      <c r="R34">
        <f t="shared" si="3"/>
        <v>586</v>
      </c>
      <c r="S34">
        <f t="shared" si="4"/>
        <v>428.73600000000005</v>
      </c>
      <c r="T34">
        <f t="shared" si="5"/>
        <v>375.67200000000003</v>
      </c>
      <c r="U34" s="21">
        <f t="shared" si="6"/>
        <v>0.7532133676092545</v>
      </c>
      <c r="V34" s="21">
        <f t="shared" si="7"/>
        <v>0.87623152709359609</v>
      </c>
      <c r="W34" s="21">
        <f t="shared" si="8"/>
        <v>0.73163139931740617</v>
      </c>
      <c r="X34">
        <f t="shared" si="9"/>
        <v>0.48286889460154242</v>
      </c>
    </row>
    <row r="35" spans="1:24" x14ac:dyDescent="0.3">
      <c r="A35" s="2">
        <v>34</v>
      </c>
      <c r="B35" s="2" t="s">
        <v>3</v>
      </c>
      <c r="C35" s="2">
        <f>Usinage!C35-Usinage!D35-Usinage!E35</f>
        <v>1539</v>
      </c>
      <c r="D35" s="15">
        <v>57</v>
      </c>
      <c r="E35" s="15">
        <v>185</v>
      </c>
      <c r="G35" s="18">
        <v>30</v>
      </c>
      <c r="H35" s="19">
        <v>5</v>
      </c>
      <c r="I35" s="18">
        <v>29</v>
      </c>
      <c r="J35" s="19">
        <v>24</v>
      </c>
      <c r="L35" s="18">
        <v>131</v>
      </c>
      <c r="N35" s="19">
        <v>10</v>
      </c>
      <c r="O35" s="20">
        <f t="shared" si="0"/>
        <v>150</v>
      </c>
      <c r="P35" s="1">
        <f t="shared" si="1"/>
        <v>960</v>
      </c>
      <c r="Q35">
        <f t="shared" si="2"/>
        <v>771</v>
      </c>
      <c r="R35">
        <f t="shared" si="3"/>
        <v>581</v>
      </c>
      <c r="S35">
        <f t="shared" si="4"/>
        <v>406.29599999999999</v>
      </c>
      <c r="T35">
        <f t="shared" si="5"/>
        <v>342.40800000000002</v>
      </c>
      <c r="U35" s="21">
        <f t="shared" si="6"/>
        <v>0.75356679636835278</v>
      </c>
      <c r="V35" s="21">
        <f t="shared" si="7"/>
        <v>0.84275503573749189</v>
      </c>
      <c r="W35" s="21">
        <f t="shared" si="8"/>
        <v>0.69930464716006879</v>
      </c>
      <c r="X35">
        <f t="shared" si="9"/>
        <v>0.44410894941634232</v>
      </c>
    </row>
    <row r="36" spans="1:24" x14ac:dyDescent="0.3">
      <c r="A36" s="2">
        <v>35</v>
      </c>
      <c r="B36" s="2" t="s">
        <v>5</v>
      </c>
      <c r="C36" s="2">
        <f>Usinage!C36-Usinage!D36-Usinage!E36</f>
        <v>1591</v>
      </c>
      <c r="D36" s="15">
        <v>52</v>
      </c>
      <c r="E36" s="15">
        <v>171</v>
      </c>
      <c r="G36" s="18">
        <v>41</v>
      </c>
      <c r="H36" s="19">
        <v>7</v>
      </c>
      <c r="I36" s="18">
        <v>27</v>
      </c>
      <c r="J36" s="19">
        <v>20</v>
      </c>
      <c r="L36" s="18">
        <v>119</v>
      </c>
      <c r="O36" s="20">
        <f t="shared" si="0"/>
        <v>150</v>
      </c>
      <c r="P36" s="1">
        <f t="shared" si="1"/>
        <v>960</v>
      </c>
      <c r="Q36">
        <f t="shared" si="2"/>
        <v>783</v>
      </c>
      <c r="R36">
        <f t="shared" si="3"/>
        <v>596</v>
      </c>
      <c r="S36">
        <f t="shared" si="4"/>
        <v>420.024</v>
      </c>
      <c r="T36">
        <f t="shared" si="5"/>
        <v>361.15200000000004</v>
      </c>
      <c r="U36" s="21">
        <f t="shared" si="6"/>
        <v>0.76117496807151974</v>
      </c>
      <c r="V36" s="21">
        <f t="shared" si="7"/>
        <v>0.85983658076681335</v>
      </c>
      <c r="W36" s="21">
        <f t="shared" si="8"/>
        <v>0.70473825503355703</v>
      </c>
      <c r="X36">
        <f t="shared" si="9"/>
        <v>0.46124137931034476</v>
      </c>
    </row>
    <row r="37" spans="1:24" x14ac:dyDescent="0.3">
      <c r="A37" s="2">
        <v>36</v>
      </c>
      <c r="B37" s="2" t="s">
        <v>4</v>
      </c>
      <c r="C37" s="2">
        <f>Usinage!C37-Usinage!D37-Usinage!E37</f>
        <v>1613</v>
      </c>
      <c r="D37" s="15">
        <v>56</v>
      </c>
      <c r="E37" s="15">
        <v>177</v>
      </c>
      <c r="G37" s="18">
        <v>43</v>
      </c>
      <c r="H37" s="19">
        <v>7</v>
      </c>
      <c r="I37" s="18">
        <v>20</v>
      </c>
      <c r="J37" s="19">
        <v>20</v>
      </c>
      <c r="L37" s="18">
        <v>126</v>
      </c>
      <c r="O37" s="20">
        <f t="shared" si="0"/>
        <v>150</v>
      </c>
      <c r="P37" s="1">
        <f t="shared" si="1"/>
        <v>960</v>
      </c>
      <c r="Q37">
        <f t="shared" si="2"/>
        <v>783</v>
      </c>
      <c r="R37">
        <f t="shared" si="3"/>
        <v>594</v>
      </c>
      <c r="S37">
        <f t="shared" si="4"/>
        <v>425.83199999999999</v>
      </c>
      <c r="T37">
        <f t="shared" si="5"/>
        <v>364.32</v>
      </c>
      <c r="U37" s="21">
        <f t="shared" si="6"/>
        <v>0.75862068965517238</v>
      </c>
      <c r="V37" s="21">
        <f t="shared" si="7"/>
        <v>0.85554866707997523</v>
      </c>
      <c r="W37" s="21">
        <f t="shared" si="8"/>
        <v>0.71688888888888891</v>
      </c>
      <c r="X37">
        <f t="shared" si="9"/>
        <v>0.4652873563218391</v>
      </c>
    </row>
    <row r="38" spans="1:24" x14ac:dyDescent="0.3">
      <c r="A38" s="2">
        <v>37</v>
      </c>
      <c r="B38" s="2" t="s">
        <v>3</v>
      </c>
      <c r="C38" s="2">
        <f>Usinage!C38-Usinage!D38-Usinage!E38</f>
        <v>1580</v>
      </c>
      <c r="D38" s="15">
        <v>41</v>
      </c>
      <c r="E38" s="15">
        <v>175</v>
      </c>
      <c r="G38" s="18">
        <v>39</v>
      </c>
      <c r="H38" s="19">
        <v>6</v>
      </c>
      <c r="I38" s="18">
        <v>25</v>
      </c>
      <c r="J38" s="19">
        <v>21</v>
      </c>
      <c r="L38" s="18">
        <v>114</v>
      </c>
      <c r="O38" s="20">
        <f t="shared" si="0"/>
        <v>150</v>
      </c>
      <c r="P38" s="1">
        <f t="shared" si="1"/>
        <v>960</v>
      </c>
      <c r="Q38">
        <f t="shared" si="2"/>
        <v>783</v>
      </c>
      <c r="R38">
        <f t="shared" si="3"/>
        <v>605</v>
      </c>
      <c r="S38">
        <f t="shared" si="4"/>
        <v>417.12</v>
      </c>
      <c r="T38">
        <f t="shared" si="5"/>
        <v>360.096</v>
      </c>
      <c r="U38" s="21">
        <f t="shared" si="6"/>
        <v>0.77266922094508306</v>
      </c>
      <c r="V38" s="21">
        <f t="shared" si="7"/>
        <v>0.86329113924050638</v>
      </c>
      <c r="W38" s="21">
        <f t="shared" si="8"/>
        <v>0.68945454545454543</v>
      </c>
      <c r="X38">
        <f t="shared" si="9"/>
        <v>0.45989272030651346</v>
      </c>
    </row>
    <row r="39" spans="1:24" x14ac:dyDescent="0.3">
      <c r="A39" s="2">
        <v>38</v>
      </c>
      <c r="B39" s="2" t="s">
        <v>2</v>
      </c>
      <c r="C39" s="2">
        <f>Usinage!C39-Usinage!D39-Usinage!E39</f>
        <v>1660</v>
      </c>
      <c r="D39" s="15">
        <v>54</v>
      </c>
      <c r="E39" s="15">
        <v>159</v>
      </c>
      <c r="G39" s="18">
        <v>35</v>
      </c>
      <c r="H39" s="19">
        <v>5</v>
      </c>
      <c r="I39" s="18">
        <v>23</v>
      </c>
      <c r="J39" s="19">
        <v>25</v>
      </c>
      <c r="L39" s="18">
        <v>124</v>
      </c>
      <c r="N39" s="19">
        <v>9</v>
      </c>
      <c r="O39" s="20">
        <f t="shared" si="0"/>
        <v>150</v>
      </c>
      <c r="P39" s="1">
        <f t="shared" si="1"/>
        <v>960</v>
      </c>
      <c r="Q39">
        <f t="shared" si="2"/>
        <v>771</v>
      </c>
      <c r="R39">
        <f t="shared" si="3"/>
        <v>589</v>
      </c>
      <c r="S39">
        <f t="shared" si="4"/>
        <v>438.24</v>
      </c>
      <c r="T39">
        <f t="shared" si="5"/>
        <v>382.00800000000004</v>
      </c>
      <c r="U39" s="21">
        <f t="shared" si="6"/>
        <v>0.76394293125810631</v>
      </c>
      <c r="V39" s="21">
        <f t="shared" si="7"/>
        <v>0.87168674698795179</v>
      </c>
      <c r="W39" s="21">
        <f t="shared" si="8"/>
        <v>0.74404074702886247</v>
      </c>
      <c r="X39">
        <f t="shared" si="9"/>
        <v>0.49547081712062258</v>
      </c>
    </row>
    <row r="40" spans="1:24" x14ac:dyDescent="0.3">
      <c r="A40" s="2">
        <v>39</v>
      </c>
      <c r="B40" s="2" t="s">
        <v>4</v>
      </c>
      <c r="C40" s="2">
        <f>Usinage!C40-Usinage!D40-Usinage!E40</f>
        <v>1692</v>
      </c>
      <c r="D40" s="15">
        <v>59</v>
      </c>
      <c r="E40" s="15">
        <v>134</v>
      </c>
      <c r="G40" s="18">
        <v>31</v>
      </c>
      <c r="H40" s="19">
        <v>6</v>
      </c>
      <c r="I40" s="18">
        <v>28</v>
      </c>
      <c r="J40" s="19">
        <v>20</v>
      </c>
      <c r="L40" s="18">
        <v>98</v>
      </c>
      <c r="O40" s="20">
        <f t="shared" si="0"/>
        <v>150</v>
      </c>
      <c r="P40" s="1">
        <f t="shared" si="1"/>
        <v>960</v>
      </c>
      <c r="Q40">
        <f t="shared" si="2"/>
        <v>784</v>
      </c>
      <c r="R40">
        <f t="shared" si="3"/>
        <v>627</v>
      </c>
      <c r="S40">
        <f t="shared" si="4"/>
        <v>446.68800000000005</v>
      </c>
      <c r="T40">
        <f t="shared" si="5"/>
        <v>395.73600000000005</v>
      </c>
      <c r="U40" s="21">
        <f t="shared" si="6"/>
        <v>0.79974489795918369</v>
      </c>
      <c r="V40" s="21">
        <f t="shared" si="7"/>
        <v>0.88593380614657213</v>
      </c>
      <c r="W40" s="21">
        <f t="shared" si="8"/>
        <v>0.71242105263157907</v>
      </c>
      <c r="X40">
        <f t="shared" si="9"/>
        <v>0.50476530612244908</v>
      </c>
    </row>
    <row r="41" spans="1:24" x14ac:dyDescent="0.3">
      <c r="A41" s="2">
        <v>40</v>
      </c>
      <c r="B41" s="2" t="s">
        <v>3</v>
      </c>
      <c r="C41" s="2">
        <f>Usinage!C41-Usinage!D41-Usinage!E41</f>
        <v>1661</v>
      </c>
      <c r="D41" s="15">
        <v>45</v>
      </c>
      <c r="E41" s="15">
        <v>145</v>
      </c>
      <c r="G41" s="18">
        <v>37</v>
      </c>
      <c r="H41" s="19">
        <v>9</v>
      </c>
      <c r="I41" s="18">
        <v>24</v>
      </c>
      <c r="J41" s="19">
        <v>25</v>
      </c>
      <c r="L41" s="18">
        <v>141</v>
      </c>
      <c r="O41" s="20">
        <f t="shared" si="0"/>
        <v>150</v>
      </c>
      <c r="P41" s="1">
        <f t="shared" si="1"/>
        <v>960</v>
      </c>
      <c r="Q41">
        <f t="shared" si="2"/>
        <v>776</v>
      </c>
      <c r="R41">
        <f t="shared" si="3"/>
        <v>574</v>
      </c>
      <c r="S41">
        <f t="shared" si="4"/>
        <v>438.50400000000002</v>
      </c>
      <c r="T41">
        <f t="shared" si="5"/>
        <v>388.34399999999999</v>
      </c>
      <c r="U41" s="21">
        <f t="shared" si="6"/>
        <v>0.73969072164948457</v>
      </c>
      <c r="V41" s="21">
        <f t="shared" si="7"/>
        <v>0.88561107766405778</v>
      </c>
      <c r="W41" s="21">
        <f t="shared" si="8"/>
        <v>0.7639442508710802</v>
      </c>
      <c r="X41">
        <f t="shared" si="9"/>
        <v>0.50044329896907225</v>
      </c>
    </row>
    <row r="42" spans="1:24" x14ac:dyDescent="0.3">
      <c r="A42" s="2">
        <v>41</v>
      </c>
      <c r="B42" s="2" t="s">
        <v>5</v>
      </c>
      <c r="C42" s="2">
        <f>Usinage!C42-Usinage!D42-Usinage!E42</f>
        <v>1590</v>
      </c>
      <c r="D42" s="15">
        <v>46</v>
      </c>
      <c r="E42" s="15">
        <v>189</v>
      </c>
      <c r="G42" s="18">
        <v>41</v>
      </c>
      <c r="H42" s="19">
        <v>9</v>
      </c>
      <c r="I42" s="18">
        <v>23</v>
      </c>
      <c r="J42" s="19">
        <v>21</v>
      </c>
      <c r="L42" s="18">
        <v>134</v>
      </c>
      <c r="N42" s="19">
        <v>6</v>
      </c>
      <c r="O42" s="20">
        <f t="shared" si="0"/>
        <v>150</v>
      </c>
      <c r="P42" s="1">
        <f t="shared" si="1"/>
        <v>960</v>
      </c>
      <c r="Q42">
        <f t="shared" si="2"/>
        <v>774</v>
      </c>
      <c r="R42">
        <f t="shared" si="3"/>
        <v>576</v>
      </c>
      <c r="S42">
        <f t="shared" si="4"/>
        <v>419.76000000000005</v>
      </c>
      <c r="T42">
        <f t="shared" si="5"/>
        <v>357.72</v>
      </c>
      <c r="U42" s="21">
        <f t="shared" si="6"/>
        <v>0.7441860465116279</v>
      </c>
      <c r="V42" s="21">
        <f t="shared" si="7"/>
        <v>0.85220125786163525</v>
      </c>
      <c r="W42" s="21">
        <f t="shared" si="8"/>
        <v>0.72875000000000012</v>
      </c>
      <c r="X42">
        <f t="shared" si="9"/>
        <v>0.46217054263565899</v>
      </c>
    </row>
    <row r="43" spans="1:24" x14ac:dyDescent="0.3">
      <c r="A43" s="2">
        <v>42</v>
      </c>
      <c r="B43" s="2" t="s">
        <v>4</v>
      </c>
      <c r="C43" s="2">
        <f>Usinage!C43-Usinage!D43-Usinage!E43</f>
        <v>1483</v>
      </c>
      <c r="D43" s="15">
        <v>56</v>
      </c>
      <c r="E43" s="15">
        <v>166</v>
      </c>
      <c r="G43" s="18">
        <v>48</v>
      </c>
      <c r="H43" s="19">
        <v>5</v>
      </c>
      <c r="I43" s="18">
        <v>23</v>
      </c>
      <c r="J43" s="19">
        <v>24</v>
      </c>
      <c r="L43" s="18">
        <v>98</v>
      </c>
      <c r="O43" s="20">
        <f t="shared" si="0"/>
        <v>150</v>
      </c>
      <c r="P43" s="1">
        <f t="shared" si="1"/>
        <v>960</v>
      </c>
      <c r="Q43">
        <f t="shared" si="2"/>
        <v>781</v>
      </c>
      <c r="R43">
        <f t="shared" si="3"/>
        <v>612</v>
      </c>
      <c r="S43">
        <f t="shared" si="4"/>
        <v>391.512</v>
      </c>
      <c r="T43">
        <f t="shared" si="5"/>
        <v>332.904</v>
      </c>
      <c r="U43" s="21">
        <f t="shared" si="6"/>
        <v>0.7836107554417413</v>
      </c>
      <c r="V43" s="21">
        <f t="shared" si="7"/>
        <v>0.85030343897505056</v>
      </c>
      <c r="W43" s="21">
        <f t="shared" si="8"/>
        <v>0.63972549019607838</v>
      </c>
      <c r="X43">
        <f t="shared" si="9"/>
        <v>0.42625352112676052</v>
      </c>
    </row>
    <row r="44" spans="1:24" x14ac:dyDescent="0.3">
      <c r="A44" s="2">
        <v>43</v>
      </c>
      <c r="B44" s="2" t="s">
        <v>3</v>
      </c>
      <c r="C44" s="2">
        <f>Usinage!C44-Usinage!D44-Usinage!E44</f>
        <v>1647</v>
      </c>
      <c r="D44" s="15">
        <v>59</v>
      </c>
      <c r="E44" s="15">
        <v>142</v>
      </c>
      <c r="F44" s="18">
        <v>32</v>
      </c>
      <c r="G44" s="18">
        <v>42</v>
      </c>
      <c r="H44" s="19">
        <v>6</v>
      </c>
      <c r="I44" s="18">
        <v>31</v>
      </c>
      <c r="J44" s="19">
        <v>20</v>
      </c>
      <c r="L44" s="18">
        <v>117</v>
      </c>
      <c r="O44" s="20">
        <f t="shared" si="0"/>
        <v>150</v>
      </c>
      <c r="P44" s="1">
        <f t="shared" si="1"/>
        <v>960</v>
      </c>
      <c r="Q44">
        <f t="shared" si="2"/>
        <v>784</v>
      </c>
      <c r="R44">
        <f t="shared" si="3"/>
        <v>562</v>
      </c>
      <c r="S44">
        <f t="shared" si="4"/>
        <v>434.80799999999999</v>
      </c>
      <c r="T44">
        <f t="shared" si="5"/>
        <v>381.74400000000003</v>
      </c>
      <c r="U44" s="21">
        <f t="shared" si="6"/>
        <v>0.71683673469387754</v>
      </c>
      <c r="V44" s="21">
        <f t="shared" si="7"/>
        <v>0.87795992714025506</v>
      </c>
      <c r="W44" s="21">
        <f t="shared" si="8"/>
        <v>0.77367971530249113</v>
      </c>
      <c r="X44">
        <f t="shared" si="9"/>
        <v>0.48691836734693883</v>
      </c>
    </row>
    <row r="45" spans="1:24" x14ac:dyDescent="0.3">
      <c r="A45" s="2">
        <v>44</v>
      </c>
      <c r="B45" s="2" t="s">
        <v>2</v>
      </c>
      <c r="C45" s="2">
        <f>Usinage!C45-Usinage!D45-Usinage!E45</f>
        <v>1631</v>
      </c>
      <c r="D45" s="15">
        <v>49</v>
      </c>
      <c r="E45" s="15">
        <v>174</v>
      </c>
      <c r="F45" s="18">
        <v>34</v>
      </c>
      <c r="G45" s="18">
        <v>36</v>
      </c>
      <c r="H45" s="19">
        <v>10</v>
      </c>
      <c r="I45" s="18">
        <v>32</v>
      </c>
      <c r="J45" s="19">
        <v>21</v>
      </c>
      <c r="L45" s="18">
        <v>127</v>
      </c>
      <c r="N45" s="19">
        <v>6</v>
      </c>
      <c r="O45" s="20">
        <f t="shared" si="0"/>
        <v>150</v>
      </c>
      <c r="P45" s="1">
        <f t="shared" si="1"/>
        <v>960</v>
      </c>
      <c r="Q45">
        <f t="shared" si="2"/>
        <v>773</v>
      </c>
      <c r="R45">
        <f t="shared" si="3"/>
        <v>544</v>
      </c>
      <c r="S45">
        <f t="shared" si="4"/>
        <v>430.584</v>
      </c>
      <c r="T45">
        <f t="shared" si="5"/>
        <v>371.71199999999999</v>
      </c>
      <c r="U45" s="21">
        <f t="shared" si="6"/>
        <v>0.70375161707632605</v>
      </c>
      <c r="V45" s="21">
        <f t="shared" si="7"/>
        <v>0.86327406499080317</v>
      </c>
      <c r="W45" s="21">
        <f t="shared" si="8"/>
        <v>0.79151470588235295</v>
      </c>
      <c r="X45">
        <f t="shared" si="9"/>
        <v>0.48086934023285904</v>
      </c>
    </row>
    <row r="46" spans="1:24" x14ac:dyDescent="0.3">
      <c r="A46" s="2">
        <v>45</v>
      </c>
      <c r="B46" s="2" t="s">
        <v>4</v>
      </c>
      <c r="C46" s="2">
        <f>Usinage!C46-Usinage!D46-Usinage!E46</f>
        <v>1457</v>
      </c>
      <c r="D46" s="15">
        <v>53</v>
      </c>
      <c r="E46" s="15">
        <v>161</v>
      </c>
      <c r="F46" s="18">
        <v>50</v>
      </c>
      <c r="G46" s="18">
        <v>50</v>
      </c>
      <c r="H46" s="19">
        <v>8</v>
      </c>
      <c r="I46" s="18">
        <v>29</v>
      </c>
      <c r="J46" s="19">
        <v>25</v>
      </c>
      <c r="L46" s="18">
        <v>90</v>
      </c>
      <c r="O46" s="20">
        <f t="shared" si="0"/>
        <v>150</v>
      </c>
      <c r="P46" s="1">
        <f t="shared" si="1"/>
        <v>960</v>
      </c>
      <c r="Q46">
        <f t="shared" si="2"/>
        <v>777</v>
      </c>
      <c r="R46">
        <f t="shared" si="3"/>
        <v>558</v>
      </c>
      <c r="S46">
        <f t="shared" si="4"/>
        <v>384.64800000000002</v>
      </c>
      <c r="T46">
        <f t="shared" si="5"/>
        <v>328.15200000000004</v>
      </c>
      <c r="U46" s="21">
        <f t="shared" si="6"/>
        <v>0.71814671814671815</v>
      </c>
      <c r="V46" s="21">
        <f t="shared" si="7"/>
        <v>0.85312285518188058</v>
      </c>
      <c r="W46" s="21">
        <f t="shared" si="8"/>
        <v>0.68933333333333335</v>
      </c>
      <c r="X46">
        <f t="shared" si="9"/>
        <v>0.42233204633204635</v>
      </c>
    </row>
    <row r="47" spans="1:24" x14ac:dyDescent="0.3">
      <c r="A47" s="2">
        <v>46</v>
      </c>
      <c r="B47" s="2" t="s">
        <v>3</v>
      </c>
      <c r="C47" s="2">
        <f>Usinage!C47-Usinage!D47-Usinage!E47</f>
        <v>1595</v>
      </c>
      <c r="D47" s="15">
        <v>49</v>
      </c>
      <c r="E47" s="15">
        <v>142</v>
      </c>
      <c r="F47" s="18">
        <v>50</v>
      </c>
      <c r="G47" s="18">
        <v>25</v>
      </c>
      <c r="H47" s="19">
        <v>10</v>
      </c>
      <c r="I47" s="18">
        <v>29</v>
      </c>
      <c r="J47" s="19">
        <v>20</v>
      </c>
      <c r="L47" s="18">
        <v>127</v>
      </c>
      <c r="O47" s="20">
        <f t="shared" si="0"/>
        <v>150</v>
      </c>
      <c r="P47" s="1">
        <f t="shared" si="1"/>
        <v>960</v>
      </c>
      <c r="Q47">
        <f t="shared" si="2"/>
        <v>780</v>
      </c>
      <c r="R47">
        <f t="shared" si="3"/>
        <v>549</v>
      </c>
      <c r="S47">
        <f t="shared" si="4"/>
        <v>421.08000000000004</v>
      </c>
      <c r="T47">
        <f t="shared" si="5"/>
        <v>370.65600000000001</v>
      </c>
      <c r="U47" s="21">
        <f t="shared" si="6"/>
        <v>0.7038461538461539</v>
      </c>
      <c r="V47" s="21">
        <f t="shared" si="7"/>
        <v>0.88025078369905951</v>
      </c>
      <c r="W47" s="21">
        <f t="shared" si="8"/>
        <v>0.76699453551912578</v>
      </c>
      <c r="X47">
        <f t="shared" si="9"/>
        <v>0.47520000000000007</v>
      </c>
    </row>
    <row r="48" spans="1:24" x14ac:dyDescent="0.3">
      <c r="A48" s="2">
        <v>47</v>
      </c>
      <c r="B48" s="2" t="s">
        <v>3</v>
      </c>
      <c r="C48" s="2">
        <f>Usinage!C48-Usinage!D48-Usinage!E48</f>
        <v>1650</v>
      </c>
      <c r="D48" s="15">
        <v>50</v>
      </c>
      <c r="E48" s="15">
        <v>153</v>
      </c>
      <c r="G48" s="18">
        <v>42</v>
      </c>
      <c r="H48" s="19">
        <v>10</v>
      </c>
      <c r="I48" s="18">
        <v>26</v>
      </c>
      <c r="J48" s="19">
        <v>25</v>
      </c>
      <c r="L48" s="18">
        <v>112</v>
      </c>
      <c r="O48" s="20">
        <f t="shared" si="0"/>
        <v>150</v>
      </c>
      <c r="P48" s="1">
        <f t="shared" si="1"/>
        <v>960</v>
      </c>
      <c r="Q48">
        <f t="shared" si="2"/>
        <v>775</v>
      </c>
      <c r="R48">
        <f t="shared" si="3"/>
        <v>595</v>
      </c>
      <c r="S48">
        <f t="shared" si="4"/>
        <v>435.6</v>
      </c>
      <c r="T48">
        <f t="shared" si="5"/>
        <v>382.00800000000004</v>
      </c>
      <c r="U48" s="21">
        <f t="shared" si="6"/>
        <v>0.76774193548387093</v>
      </c>
      <c r="V48" s="21">
        <f t="shared" si="7"/>
        <v>0.87696969696969695</v>
      </c>
      <c r="W48" s="21">
        <f t="shared" si="8"/>
        <v>0.73210084033613454</v>
      </c>
      <c r="X48">
        <f t="shared" si="9"/>
        <v>0.49291354838709678</v>
      </c>
    </row>
    <row r="49" spans="1:24" x14ac:dyDescent="0.3">
      <c r="A49" s="2">
        <v>48</v>
      </c>
      <c r="B49" s="2" t="s">
        <v>3</v>
      </c>
      <c r="C49" s="2">
        <f>Usinage!C49-Usinage!D49-Usinage!E49</f>
        <v>1583</v>
      </c>
      <c r="D49" s="15">
        <v>51</v>
      </c>
      <c r="E49" s="15">
        <v>172</v>
      </c>
      <c r="G49" s="18">
        <v>26</v>
      </c>
      <c r="H49" s="19">
        <v>6</v>
      </c>
      <c r="I49" s="18">
        <v>23</v>
      </c>
      <c r="J49" s="19">
        <v>20</v>
      </c>
      <c r="L49" s="18">
        <v>97</v>
      </c>
      <c r="N49" s="19">
        <v>7</v>
      </c>
      <c r="O49" s="20">
        <f t="shared" si="0"/>
        <v>150</v>
      </c>
      <c r="P49" s="1">
        <f t="shared" si="1"/>
        <v>960</v>
      </c>
      <c r="Q49">
        <f t="shared" si="2"/>
        <v>777</v>
      </c>
      <c r="R49">
        <f t="shared" si="3"/>
        <v>631</v>
      </c>
      <c r="S49">
        <f t="shared" si="4"/>
        <v>417.91200000000003</v>
      </c>
      <c r="T49">
        <f t="shared" si="5"/>
        <v>359.04</v>
      </c>
      <c r="U49" s="21">
        <f t="shared" si="6"/>
        <v>0.81209781209781207</v>
      </c>
      <c r="V49" s="21">
        <f t="shared" si="7"/>
        <v>0.85912823752368916</v>
      </c>
      <c r="W49" s="21">
        <f t="shared" si="8"/>
        <v>0.66230110935023778</v>
      </c>
      <c r="X49">
        <f t="shared" si="9"/>
        <v>0.46208494208494211</v>
      </c>
    </row>
    <row r="50" spans="1:24" x14ac:dyDescent="0.3">
      <c r="A50" s="2">
        <v>49</v>
      </c>
      <c r="B50" s="2" t="s">
        <v>5</v>
      </c>
      <c r="C50" s="2">
        <f>Usinage!C50-Usinage!D50-Usinage!E50</f>
        <v>1478</v>
      </c>
      <c r="D50" s="15">
        <v>41</v>
      </c>
      <c r="E50" s="15">
        <v>148</v>
      </c>
      <c r="G50" s="18">
        <v>20</v>
      </c>
      <c r="H50" s="19">
        <v>8</v>
      </c>
      <c r="I50" s="18">
        <v>29</v>
      </c>
      <c r="J50" s="19">
        <v>22</v>
      </c>
      <c r="L50" s="18">
        <v>106</v>
      </c>
      <c r="O50" s="20">
        <f t="shared" si="0"/>
        <v>150</v>
      </c>
      <c r="P50" s="1">
        <f t="shared" si="1"/>
        <v>960</v>
      </c>
      <c r="Q50">
        <f t="shared" si="2"/>
        <v>780</v>
      </c>
      <c r="R50">
        <f t="shared" si="3"/>
        <v>625</v>
      </c>
      <c r="S50">
        <f t="shared" si="4"/>
        <v>390.19200000000001</v>
      </c>
      <c r="T50">
        <f t="shared" si="5"/>
        <v>340.29599999999999</v>
      </c>
      <c r="U50" s="21">
        <f t="shared" si="6"/>
        <v>0.80128205128205132</v>
      </c>
      <c r="V50" s="21">
        <f t="shared" si="7"/>
        <v>0.87212449255751012</v>
      </c>
      <c r="W50" s="21">
        <f t="shared" si="8"/>
        <v>0.62430720000000006</v>
      </c>
      <c r="X50">
        <f t="shared" si="9"/>
        <v>0.43627692307692312</v>
      </c>
    </row>
    <row r="51" spans="1:24" x14ac:dyDescent="0.3">
      <c r="A51" s="2">
        <v>50</v>
      </c>
      <c r="B51" s="2" t="s">
        <v>4</v>
      </c>
      <c r="C51" s="2">
        <f>Usinage!C51-Usinage!D51-Usinage!E51</f>
        <v>1557</v>
      </c>
      <c r="D51" s="15">
        <v>49</v>
      </c>
      <c r="E51" s="15">
        <v>162</v>
      </c>
      <c r="G51" s="18">
        <v>34</v>
      </c>
      <c r="H51" s="19">
        <v>7</v>
      </c>
      <c r="I51" s="18">
        <v>32</v>
      </c>
      <c r="J51" s="19">
        <v>20</v>
      </c>
      <c r="L51" s="18">
        <v>121</v>
      </c>
      <c r="N51" s="19">
        <v>6</v>
      </c>
      <c r="O51" s="20">
        <f t="shared" si="0"/>
        <v>150</v>
      </c>
      <c r="P51" s="1">
        <f t="shared" si="1"/>
        <v>960</v>
      </c>
      <c r="Q51">
        <f t="shared" si="2"/>
        <v>777</v>
      </c>
      <c r="R51">
        <f t="shared" si="3"/>
        <v>590</v>
      </c>
      <c r="S51">
        <f t="shared" si="4"/>
        <v>411.048</v>
      </c>
      <c r="T51">
        <f t="shared" si="5"/>
        <v>355.34399999999999</v>
      </c>
      <c r="U51" s="21">
        <f t="shared" si="6"/>
        <v>0.75933075933075933</v>
      </c>
      <c r="V51" s="21">
        <f t="shared" si="7"/>
        <v>0.86448298008991653</v>
      </c>
      <c r="W51" s="21">
        <f t="shared" si="8"/>
        <v>0.69669152542372881</v>
      </c>
      <c r="X51">
        <f t="shared" si="9"/>
        <v>0.45732818532818537</v>
      </c>
    </row>
    <row r="52" spans="1:24" x14ac:dyDescent="0.3">
      <c r="A52" s="2">
        <v>51</v>
      </c>
      <c r="B52" s="2" t="s">
        <v>3</v>
      </c>
      <c r="C52" s="2">
        <f>Usinage!C52-Usinage!D52-Usinage!E52</f>
        <v>1557</v>
      </c>
      <c r="D52" s="15">
        <v>58</v>
      </c>
      <c r="E52" s="15">
        <v>167</v>
      </c>
      <c r="G52" s="18">
        <v>22</v>
      </c>
      <c r="H52" s="19">
        <v>8</v>
      </c>
      <c r="I52" s="18">
        <v>23</v>
      </c>
      <c r="J52" s="19">
        <v>25</v>
      </c>
      <c r="L52" s="18">
        <v>119</v>
      </c>
      <c r="O52" s="20">
        <f t="shared" si="0"/>
        <v>150</v>
      </c>
      <c r="P52" s="1">
        <f t="shared" si="1"/>
        <v>960</v>
      </c>
      <c r="Q52">
        <f t="shared" si="2"/>
        <v>777</v>
      </c>
      <c r="R52">
        <f t="shared" si="3"/>
        <v>613</v>
      </c>
      <c r="S52">
        <f t="shared" si="4"/>
        <v>411.048</v>
      </c>
      <c r="T52">
        <f t="shared" si="5"/>
        <v>351.64800000000002</v>
      </c>
      <c r="U52" s="21">
        <f t="shared" si="6"/>
        <v>0.78893178893178895</v>
      </c>
      <c r="V52" s="21">
        <f t="shared" si="7"/>
        <v>0.8554913294797688</v>
      </c>
      <c r="W52" s="21">
        <f t="shared" si="8"/>
        <v>0.67055138662316471</v>
      </c>
      <c r="X52">
        <f t="shared" si="9"/>
        <v>0.45257142857142851</v>
      </c>
    </row>
    <row r="53" spans="1:24" x14ac:dyDescent="0.3">
      <c r="A53" s="2">
        <v>52</v>
      </c>
      <c r="B53" s="2" t="s">
        <v>2</v>
      </c>
      <c r="C53" s="2">
        <f>Usinage!C53-Usinage!D53-Usinage!E53</f>
        <v>1656</v>
      </c>
      <c r="D53" s="15">
        <v>43</v>
      </c>
      <c r="E53" s="15">
        <v>175</v>
      </c>
      <c r="G53" s="18">
        <v>32</v>
      </c>
      <c r="H53" s="19">
        <v>8</v>
      </c>
      <c r="I53" s="18">
        <v>28</v>
      </c>
      <c r="J53" s="19">
        <v>23</v>
      </c>
      <c r="L53" s="18">
        <v>118</v>
      </c>
      <c r="O53" s="20">
        <f t="shared" si="0"/>
        <v>150</v>
      </c>
      <c r="P53" s="1">
        <f t="shared" si="1"/>
        <v>960</v>
      </c>
      <c r="Q53">
        <f t="shared" si="2"/>
        <v>779</v>
      </c>
      <c r="R53">
        <f t="shared" si="3"/>
        <v>601</v>
      </c>
      <c r="S53">
        <f t="shared" si="4"/>
        <v>437.18400000000003</v>
      </c>
      <c r="T53">
        <f t="shared" si="5"/>
        <v>379.63200000000001</v>
      </c>
      <c r="U53" s="21">
        <f t="shared" si="6"/>
        <v>0.77150192554557129</v>
      </c>
      <c r="V53" s="21">
        <f t="shared" si="7"/>
        <v>0.86835748792270528</v>
      </c>
      <c r="W53" s="21">
        <f t="shared" si="8"/>
        <v>0.72742762063227961</v>
      </c>
      <c r="X53">
        <f t="shared" si="9"/>
        <v>0.48733247753530179</v>
      </c>
    </row>
    <row r="54" spans="1:24" x14ac:dyDescent="0.3">
      <c r="A54" s="2">
        <v>53</v>
      </c>
      <c r="B54" s="2" t="s">
        <v>4</v>
      </c>
      <c r="C54" s="2">
        <f>Usinage!C54-Usinage!D54-Usinage!E54</f>
        <v>1433</v>
      </c>
      <c r="D54" s="15">
        <v>51</v>
      </c>
      <c r="E54" s="15">
        <v>142</v>
      </c>
      <c r="G54" s="18">
        <v>23</v>
      </c>
      <c r="H54" s="19">
        <v>7</v>
      </c>
      <c r="I54" s="18">
        <v>29</v>
      </c>
      <c r="J54" s="19">
        <v>22</v>
      </c>
      <c r="L54" s="18">
        <v>134</v>
      </c>
      <c r="O54" s="20">
        <f t="shared" si="0"/>
        <v>150</v>
      </c>
      <c r="P54" s="1">
        <f t="shared" si="1"/>
        <v>960</v>
      </c>
      <c r="Q54">
        <f t="shared" si="2"/>
        <v>781</v>
      </c>
      <c r="R54">
        <f t="shared" si="3"/>
        <v>595</v>
      </c>
      <c r="S54">
        <f t="shared" si="4"/>
        <v>378.31200000000001</v>
      </c>
      <c r="T54">
        <f t="shared" si="5"/>
        <v>327.36</v>
      </c>
      <c r="U54" s="21">
        <f t="shared" si="6"/>
        <v>0.76184379001280411</v>
      </c>
      <c r="V54" s="21">
        <f t="shared" si="7"/>
        <v>0.86531751570132587</v>
      </c>
      <c r="W54" s="21">
        <f t="shared" si="8"/>
        <v>0.63581848739495805</v>
      </c>
      <c r="X54">
        <f t="shared" si="9"/>
        <v>0.41915492957746481</v>
      </c>
    </row>
    <row r="55" spans="1:24" x14ac:dyDescent="0.3">
      <c r="A55" s="2">
        <v>54</v>
      </c>
      <c r="B55" s="2" t="s">
        <v>3</v>
      </c>
      <c r="C55" s="2">
        <f>Usinage!C55-Usinage!D55-Usinage!E55</f>
        <v>1508</v>
      </c>
      <c r="D55" s="15">
        <v>43</v>
      </c>
      <c r="E55" s="15">
        <v>156</v>
      </c>
      <c r="G55" s="18">
        <v>31</v>
      </c>
      <c r="H55" s="19">
        <v>7</v>
      </c>
      <c r="I55" s="18">
        <v>27</v>
      </c>
      <c r="J55" s="19">
        <v>22</v>
      </c>
      <c r="L55" s="18">
        <v>107</v>
      </c>
      <c r="N55" s="19">
        <v>7</v>
      </c>
      <c r="O55" s="20">
        <f t="shared" si="0"/>
        <v>150</v>
      </c>
      <c r="P55" s="1">
        <f t="shared" si="1"/>
        <v>960</v>
      </c>
      <c r="Q55">
        <f t="shared" si="2"/>
        <v>774</v>
      </c>
      <c r="R55">
        <f t="shared" si="3"/>
        <v>609</v>
      </c>
      <c r="S55">
        <f t="shared" si="4"/>
        <v>398.11200000000002</v>
      </c>
      <c r="T55">
        <f t="shared" si="5"/>
        <v>345.57600000000002</v>
      </c>
      <c r="U55" s="21">
        <f t="shared" si="6"/>
        <v>0.78682170542635654</v>
      </c>
      <c r="V55" s="21">
        <f t="shared" si="7"/>
        <v>0.86803713527851456</v>
      </c>
      <c r="W55" s="21">
        <f t="shared" si="8"/>
        <v>0.6537142857142858</v>
      </c>
      <c r="X55">
        <f t="shared" si="9"/>
        <v>0.44648062015503875</v>
      </c>
    </row>
    <row r="56" spans="1:24" x14ac:dyDescent="0.3">
      <c r="A56" s="2">
        <v>55</v>
      </c>
      <c r="B56" s="2" t="s">
        <v>5</v>
      </c>
      <c r="C56" s="2">
        <f>Usinage!C56-Usinage!D56-Usinage!E56</f>
        <v>1502</v>
      </c>
      <c r="D56" s="15">
        <v>56</v>
      </c>
      <c r="E56" s="15">
        <v>153</v>
      </c>
      <c r="G56" s="18">
        <v>49</v>
      </c>
      <c r="H56" s="19">
        <v>9</v>
      </c>
      <c r="I56" s="18">
        <v>30</v>
      </c>
      <c r="J56" s="19">
        <v>24</v>
      </c>
      <c r="L56" s="18">
        <v>110</v>
      </c>
      <c r="O56" s="20">
        <f t="shared" si="0"/>
        <v>150</v>
      </c>
      <c r="P56" s="1">
        <f t="shared" si="1"/>
        <v>960</v>
      </c>
      <c r="Q56">
        <f t="shared" si="2"/>
        <v>777</v>
      </c>
      <c r="R56">
        <f t="shared" si="3"/>
        <v>588</v>
      </c>
      <c r="S56">
        <f t="shared" si="4"/>
        <v>396.52800000000002</v>
      </c>
      <c r="T56">
        <f t="shared" si="5"/>
        <v>341.35200000000003</v>
      </c>
      <c r="U56" s="21">
        <f t="shared" si="6"/>
        <v>0.7567567567567568</v>
      </c>
      <c r="V56" s="21">
        <f t="shared" si="7"/>
        <v>0.86085219707057259</v>
      </c>
      <c r="W56" s="21">
        <f t="shared" si="8"/>
        <v>0.67436734693877554</v>
      </c>
      <c r="X56">
        <f t="shared" si="9"/>
        <v>0.43932046332046337</v>
      </c>
    </row>
    <row r="57" spans="1:24" x14ac:dyDescent="0.3">
      <c r="A57" s="2">
        <v>56</v>
      </c>
      <c r="B57" s="2" t="s">
        <v>5</v>
      </c>
      <c r="C57" s="2">
        <f>Usinage!C57-Usinage!D57-Usinage!E57</f>
        <v>1460</v>
      </c>
      <c r="D57" s="15">
        <v>55</v>
      </c>
      <c r="E57" s="15">
        <v>171</v>
      </c>
      <c r="F57" s="18">
        <v>47</v>
      </c>
      <c r="G57" s="18">
        <v>28</v>
      </c>
      <c r="H57" s="19">
        <v>10</v>
      </c>
      <c r="I57" s="18">
        <v>33</v>
      </c>
      <c r="J57" s="19">
        <v>22</v>
      </c>
      <c r="L57" s="18">
        <v>146</v>
      </c>
      <c r="O57" s="20">
        <f t="shared" si="0"/>
        <v>150</v>
      </c>
      <c r="P57" s="1">
        <f t="shared" si="1"/>
        <v>960</v>
      </c>
      <c r="Q57">
        <f t="shared" si="2"/>
        <v>778</v>
      </c>
      <c r="R57">
        <f t="shared" si="3"/>
        <v>524</v>
      </c>
      <c r="S57">
        <f t="shared" si="4"/>
        <v>385.44</v>
      </c>
      <c r="T57">
        <f t="shared" si="5"/>
        <v>325.77600000000001</v>
      </c>
      <c r="U57" s="21">
        <f t="shared" si="6"/>
        <v>0.67352185089974292</v>
      </c>
      <c r="V57" s="21">
        <f t="shared" si="7"/>
        <v>0.84520547945205482</v>
      </c>
      <c r="W57" s="21">
        <f t="shared" si="8"/>
        <v>0.73557251908396948</v>
      </c>
      <c r="X57">
        <f t="shared" si="9"/>
        <v>0.41873521850899742</v>
      </c>
    </row>
    <row r="58" spans="1:24" x14ac:dyDescent="0.3">
      <c r="A58" s="2">
        <v>57</v>
      </c>
      <c r="B58" s="2" t="s">
        <v>5</v>
      </c>
      <c r="C58" s="2">
        <f>Usinage!C58-Usinage!D58-Usinage!E58</f>
        <v>1515</v>
      </c>
      <c r="D58" s="15">
        <v>43</v>
      </c>
      <c r="E58" s="15">
        <v>161</v>
      </c>
      <c r="G58" s="18">
        <v>38</v>
      </c>
      <c r="H58" s="19">
        <v>7</v>
      </c>
      <c r="I58" s="18">
        <v>27</v>
      </c>
      <c r="J58" s="19">
        <v>25</v>
      </c>
      <c r="L58" s="18">
        <v>113</v>
      </c>
      <c r="N58" s="19">
        <v>5</v>
      </c>
      <c r="O58" s="20">
        <f t="shared" si="0"/>
        <v>150</v>
      </c>
      <c r="P58" s="1">
        <f t="shared" si="1"/>
        <v>960</v>
      </c>
      <c r="Q58">
        <f t="shared" si="2"/>
        <v>773</v>
      </c>
      <c r="R58">
        <f t="shared" si="3"/>
        <v>595</v>
      </c>
      <c r="S58">
        <f t="shared" si="4"/>
        <v>399.96000000000004</v>
      </c>
      <c r="T58">
        <f t="shared" si="5"/>
        <v>346.10400000000004</v>
      </c>
      <c r="U58" s="21">
        <f t="shared" si="6"/>
        <v>0.76972833117723161</v>
      </c>
      <c r="V58" s="21">
        <f t="shared" si="7"/>
        <v>0.86534653465346534</v>
      </c>
      <c r="W58" s="21">
        <f t="shared" si="8"/>
        <v>0.67220168067226893</v>
      </c>
      <c r="X58">
        <f t="shared" si="9"/>
        <v>0.44774126778783963</v>
      </c>
    </row>
    <row r="59" spans="1:24" x14ac:dyDescent="0.3">
      <c r="A59" s="2">
        <v>58</v>
      </c>
      <c r="B59" s="2" t="s">
        <v>3</v>
      </c>
      <c r="C59" s="2">
        <f>Usinage!C59-Usinage!D59-Usinage!E59</f>
        <v>1472</v>
      </c>
      <c r="D59" s="15">
        <v>57</v>
      </c>
      <c r="E59" s="15">
        <v>164</v>
      </c>
      <c r="G59" s="18">
        <v>42</v>
      </c>
      <c r="H59" s="19">
        <v>8</v>
      </c>
      <c r="I59" s="18">
        <v>26</v>
      </c>
      <c r="J59" s="19">
        <v>20</v>
      </c>
      <c r="L59" s="18">
        <v>118</v>
      </c>
      <c r="O59" s="20">
        <f t="shared" si="0"/>
        <v>150</v>
      </c>
      <c r="P59" s="1">
        <f t="shared" si="1"/>
        <v>960</v>
      </c>
      <c r="Q59">
        <f t="shared" si="2"/>
        <v>782</v>
      </c>
      <c r="R59">
        <f t="shared" si="3"/>
        <v>596</v>
      </c>
      <c r="S59">
        <f t="shared" si="4"/>
        <v>388.608</v>
      </c>
      <c r="T59">
        <f t="shared" si="5"/>
        <v>330.26400000000001</v>
      </c>
      <c r="U59" s="21">
        <f t="shared" si="6"/>
        <v>0.76214833759590794</v>
      </c>
      <c r="V59" s="21">
        <f t="shared" si="7"/>
        <v>0.84986413043478259</v>
      </c>
      <c r="W59" s="21">
        <f t="shared" si="8"/>
        <v>0.65202684563758395</v>
      </c>
      <c r="X59">
        <f t="shared" si="9"/>
        <v>0.42233248081841435</v>
      </c>
    </row>
    <row r="60" spans="1:24" x14ac:dyDescent="0.3">
      <c r="A60" s="2">
        <v>59</v>
      </c>
      <c r="B60" s="2" t="s">
        <v>3</v>
      </c>
      <c r="C60" s="2">
        <f>Usinage!C60-Usinage!D60-Usinage!E60</f>
        <v>1494</v>
      </c>
      <c r="D60" s="15">
        <v>44</v>
      </c>
      <c r="E60" s="15">
        <v>173</v>
      </c>
      <c r="G60" s="18">
        <v>21</v>
      </c>
      <c r="H60" s="19">
        <v>5</v>
      </c>
      <c r="I60" s="18">
        <v>31</v>
      </c>
      <c r="J60" s="19">
        <v>21</v>
      </c>
      <c r="L60" s="18">
        <v>133</v>
      </c>
      <c r="O60" s="20">
        <f t="shared" si="0"/>
        <v>150</v>
      </c>
      <c r="P60" s="1">
        <f t="shared" si="1"/>
        <v>960</v>
      </c>
      <c r="Q60">
        <f t="shared" si="2"/>
        <v>784</v>
      </c>
      <c r="R60">
        <f t="shared" si="3"/>
        <v>599</v>
      </c>
      <c r="S60">
        <f t="shared" si="4"/>
        <v>394.416</v>
      </c>
      <c r="T60">
        <f t="shared" si="5"/>
        <v>337.12800000000004</v>
      </c>
      <c r="U60" s="21">
        <f t="shared" si="6"/>
        <v>0.76403061224489799</v>
      </c>
      <c r="V60" s="21">
        <f t="shared" si="7"/>
        <v>0.8547523427041499</v>
      </c>
      <c r="W60" s="21">
        <f t="shared" si="8"/>
        <v>0.65845742904841398</v>
      </c>
      <c r="X60">
        <f t="shared" si="9"/>
        <v>0.43001020408163265</v>
      </c>
    </row>
    <row r="61" spans="1:24" x14ac:dyDescent="0.3">
      <c r="A61" s="2">
        <v>60</v>
      </c>
      <c r="B61" s="2" t="s">
        <v>5</v>
      </c>
      <c r="C61" s="2">
        <f>Usinage!C61-Usinage!D61-Usinage!E61</f>
        <v>1446</v>
      </c>
      <c r="D61" s="15">
        <v>52</v>
      </c>
      <c r="E61" s="15">
        <v>139</v>
      </c>
      <c r="F61" s="18">
        <v>34</v>
      </c>
      <c r="G61" s="18">
        <v>46</v>
      </c>
      <c r="H61" s="19">
        <v>6</v>
      </c>
      <c r="I61" s="18">
        <v>33</v>
      </c>
      <c r="J61" s="19">
        <v>21</v>
      </c>
      <c r="L61" s="18">
        <v>119</v>
      </c>
      <c r="N61" s="19">
        <v>5</v>
      </c>
      <c r="O61" s="20">
        <f t="shared" si="0"/>
        <v>150</v>
      </c>
      <c r="P61" s="1">
        <f t="shared" si="1"/>
        <v>960</v>
      </c>
      <c r="Q61">
        <f t="shared" si="2"/>
        <v>778</v>
      </c>
      <c r="R61">
        <f t="shared" si="3"/>
        <v>546</v>
      </c>
      <c r="S61">
        <f t="shared" si="4"/>
        <v>381.74400000000003</v>
      </c>
      <c r="T61">
        <f t="shared" si="5"/>
        <v>331.32</v>
      </c>
      <c r="U61" s="21">
        <f t="shared" si="6"/>
        <v>0.70179948586118257</v>
      </c>
      <c r="V61" s="21">
        <f t="shared" si="7"/>
        <v>0.86791147994467499</v>
      </c>
      <c r="W61" s="21">
        <f t="shared" si="8"/>
        <v>0.69916483516483519</v>
      </c>
      <c r="X61">
        <f t="shared" si="9"/>
        <v>0.42586118251928023</v>
      </c>
    </row>
    <row r="62" spans="1:24" x14ac:dyDescent="0.3">
      <c r="A62" s="2">
        <v>61</v>
      </c>
      <c r="B62" s="2" t="s">
        <v>4</v>
      </c>
      <c r="C62" s="2">
        <f>Usinage!C62-Usinage!D62-Usinage!E62</f>
        <v>1595</v>
      </c>
      <c r="D62" s="15">
        <v>45</v>
      </c>
      <c r="E62" s="15">
        <v>162</v>
      </c>
      <c r="G62" s="18">
        <v>37</v>
      </c>
      <c r="H62" s="19">
        <v>5</v>
      </c>
      <c r="I62" s="18">
        <v>24</v>
      </c>
      <c r="J62" s="19">
        <v>24</v>
      </c>
      <c r="L62" s="18">
        <v>124</v>
      </c>
      <c r="O62" s="20">
        <f t="shared" si="0"/>
        <v>150</v>
      </c>
      <c r="P62" s="1">
        <f t="shared" si="1"/>
        <v>960</v>
      </c>
      <c r="Q62">
        <f t="shared" si="2"/>
        <v>781</v>
      </c>
      <c r="R62">
        <f t="shared" si="3"/>
        <v>596</v>
      </c>
      <c r="S62">
        <f t="shared" si="4"/>
        <v>421.08000000000004</v>
      </c>
      <c r="T62">
        <f t="shared" si="5"/>
        <v>366.43200000000002</v>
      </c>
      <c r="U62" s="21">
        <f t="shared" si="6"/>
        <v>0.7631241997439181</v>
      </c>
      <c r="V62" s="21">
        <f t="shared" si="7"/>
        <v>0.87021943573667715</v>
      </c>
      <c r="W62" s="21">
        <f t="shared" si="8"/>
        <v>0.70651006711409403</v>
      </c>
      <c r="X62">
        <f t="shared" si="9"/>
        <v>0.46918309859154939</v>
      </c>
    </row>
    <row r="63" spans="1:24" x14ac:dyDescent="0.3">
      <c r="A63" s="2">
        <v>62</v>
      </c>
      <c r="B63" s="2" t="s">
        <v>3</v>
      </c>
      <c r="C63" s="2">
        <f>Usinage!C63-Usinage!D63-Usinage!E63</f>
        <v>1490</v>
      </c>
      <c r="D63" s="15">
        <v>58</v>
      </c>
      <c r="E63" s="15">
        <v>153</v>
      </c>
      <c r="G63" s="18">
        <v>46</v>
      </c>
      <c r="H63" s="19">
        <v>9</v>
      </c>
      <c r="I63" s="18">
        <v>38</v>
      </c>
      <c r="J63" s="19">
        <v>24</v>
      </c>
      <c r="L63" s="18">
        <v>101</v>
      </c>
      <c r="O63" s="20">
        <f t="shared" si="0"/>
        <v>150</v>
      </c>
      <c r="P63" s="1">
        <f t="shared" si="1"/>
        <v>960</v>
      </c>
      <c r="Q63">
        <f t="shared" si="2"/>
        <v>777</v>
      </c>
      <c r="R63">
        <f t="shared" si="3"/>
        <v>592</v>
      </c>
      <c r="S63">
        <f t="shared" si="4"/>
        <v>393.36</v>
      </c>
      <c r="T63">
        <f t="shared" si="5"/>
        <v>337.65600000000001</v>
      </c>
      <c r="U63" s="21">
        <f t="shared" si="6"/>
        <v>0.76190476190476186</v>
      </c>
      <c r="V63" s="21">
        <f t="shared" si="7"/>
        <v>0.85838926174496644</v>
      </c>
      <c r="W63" s="21">
        <f t="shared" si="8"/>
        <v>0.6644594594594595</v>
      </c>
      <c r="X63">
        <f t="shared" si="9"/>
        <v>0.43456370656370652</v>
      </c>
    </row>
    <row r="64" spans="1:24" x14ac:dyDescent="0.3">
      <c r="A64" s="2">
        <v>63</v>
      </c>
      <c r="B64" s="2" t="s">
        <v>3</v>
      </c>
      <c r="C64" s="2">
        <f>Usinage!C64-Usinage!D64-Usinage!E64</f>
        <v>1523</v>
      </c>
      <c r="D64" s="15">
        <v>47</v>
      </c>
      <c r="E64" s="15">
        <v>160</v>
      </c>
      <c r="F64" s="18">
        <v>37</v>
      </c>
      <c r="G64" s="18">
        <v>48</v>
      </c>
      <c r="H64" s="19">
        <v>9</v>
      </c>
      <c r="I64" s="18">
        <v>29</v>
      </c>
      <c r="J64" s="19">
        <v>21</v>
      </c>
      <c r="L64" s="18">
        <v>115</v>
      </c>
      <c r="O64" s="20">
        <f t="shared" si="0"/>
        <v>150</v>
      </c>
      <c r="P64" s="1">
        <f t="shared" si="1"/>
        <v>960</v>
      </c>
      <c r="Q64">
        <f t="shared" si="2"/>
        <v>780</v>
      </c>
      <c r="R64">
        <f t="shared" si="3"/>
        <v>551</v>
      </c>
      <c r="S64">
        <f t="shared" si="4"/>
        <v>402.072</v>
      </c>
      <c r="T64">
        <f t="shared" si="5"/>
        <v>347.42400000000004</v>
      </c>
      <c r="U64" s="21">
        <f t="shared" si="6"/>
        <v>0.70641025641025645</v>
      </c>
      <c r="V64" s="21">
        <f t="shared" si="7"/>
        <v>0.86408404464871968</v>
      </c>
      <c r="W64" s="21">
        <f t="shared" si="8"/>
        <v>0.72971324863883846</v>
      </c>
      <c r="X64">
        <f t="shared" si="9"/>
        <v>0.44541538461538466</v>
      </c>
    </row>
    <row r="65" spans="1:24" x14ac:dyDescent="0.3">
      <c r="A65" s="2">
        <v>64</v>
      </c>
      <c r="B65" s="2" t="s">
        <v>5</v>
      </c>
      <c r="C65" s="2">
        <f>Usinage!C65-Usinage!D65-Usinage!E65</f>
        <v>1549</v>
      </c>
      <c r="D65" s="15">
        <v>57</v>
      </c>
      <c r="E65" s="15">
        <v>194</v>
      </c>
      <c r="G65" s="18">
        <v>20</v>
      </c>
      <c r="H65" s="19">
        <v>7</v>
      </c>
      <c r="I65" s="18">
        <v>33</v>
      </c>
      <c r="J65" s="19">
        <v>25</v>
      </c>
      <c r="L65" s="18">
        <v>116</v>
      </c>
      <c r="N65" s="19">
        <v>9</v>
      </c>
      <c r="O65" s="20">
        <f t="shared" si="0"/>
        <v>150</v>
      </c>
      <c r="P65" s="1">
        <f t="shared" si="1"/>
        <v>960</v>
      </c>
      <c r="Q65">
        <f t="shared" si="2"/>
        <v>769</v>
      </c>
      <c r="R65">
        <f t="shared" si="3"/>
        <v>600</v>
      </c>
      <c r="S65">
        <f t="shared" si="4"/>
        <v>408.93600000000004</v>
      </c>
      <c r="T65">
        <f t="shared" si="5"/>
        <v>342.67200000000003</v>
      </c>
      <c r="U65" s="21">
        <f t="shared" si="6"/>
        <v>0.78023407022106628</v>
      </c>
      <c r="V65" s="21">
        <f t="shared" si="7"/>
        <v>0.83795997417688828</v>
      </c>
      <c r="W65" s="21">
        <f t="shared" si="8"/>
        <v>0.68156000000000005</v>
      </c>
      <c r="X65">
        <f t="shared" si="9"/>
        <v>0.4456072821846554</v>
      </c>
    </row>
    <row r="66" spans="1:24" x14ac:dyDescent="0.3">
      <c r="A66" s="2">
        <v>65</v>
      </c>
      <c r="B66" s="2" t="s">
        <v>4</v>
      </c>
      <c r="C66" s="2">
        <f>Usinage!C66-Usinage!D66-Usinage!E66</f>
        <v>1611</v>
      </c>
      <c r="D66" s="15">
        <v>53</v>
      </c>
      <c r="E66" s="15">
        <v>147</v>
      </c>
      <c r="F66" s="18">
        <v>38</v>
      </c>
      <c r="G66" s="18">
        <v>29</v>
      </c>
      <c r="H66" s="19">
        <v>7</v>
      </c>
      <c r="I66" s="18">
        <v>37</v>
      </c>
      <c r="J66" s="19">
        <v>23</v>
      </c>
      <c r="L66" s="18">
        <v>142</v>
      </c>
      <c r="O66" s="20">
        <f t="shared" si="0"/>
        <v>150</v>
      </c>
      <c r="P66" s="1">
        <f t="shared" si="1"/>
        <v>960</v>
      </c>
      <c r="Q66">
        <f t="shared" si="2"/>
        <v>780</v>
      </c>
      <c r="R66">
        <f t="shared" si="3"/>
        <v>534</v>
      </c>
      <c r="S66">
        <f t="shared" si="4"/>
        <v>425.30400000000003</v>
      </c>
      <c r="T66">
        <f t="shared" si="5"/>
        <v>372.50400000000002</v>
      </c>
      <c r="U66" s="21">
        <f t="shared" si="6"/>
        <v>0.68461538461538463</v>
      </c>
      <c r="V66" s="21">
        <f t="shared" si="7"/>
        <v>0.87585350713842336</v>
      </c>
      <c r="W66" s="21">
        <f t="shared" si="8"/>
        <v>0.79644943820224723</v>
      </c>
      <c r="X66">
        <f t="shared" si="9"/>
        <v>0.4775692307692308</v>
      </c>
    </row>
    <row r="67" spans="1:24" x14ac:dyDescent="0.3">
      <c r="A67" s="2">
        <v>66</v>
      </c>
      <c r="B67" s="2" t="s">
        <v>3</v>
      </c>
      <c r="C67" s="2">
        <f>Usinage!C67-Usinage!D67-Usinage!E67</f>
        <v>1531</v>
      </c>
      <c r="D67" s="15">
        <v>51</v>
      </c>
      <c r="E67" s="15">
        <v>138</v>
      </c>
      <c r="G67" s="18">
        <v>31</v>
      </c>
      <c r="H67" s="19">
        <v>7</v>
      </c>
      <c r="I67" s="18">
        <v>35</v>
      </c>
      <c r="J67" s="19">
        <v>24</v>
      </c>
      <c r="L67" s="18">
        <v>115</v>
      </c>
      <c r="O67" s="20">
        <f t="shared" ref="O67:O130" si="10">37500/250</f>
        <v>150</v>
      </c>
      <c r="P67" s="1">
        <f t="shared" ref="P67:P130" si="11">4000*60/250</f>
        <v>960</v>
      </c>
      <c r="Q67">
        <f t="shared" ref="Q67:Q130" si="12">P67-H67-J67-M67-N67-O67</f>
        <v>779</v>
      </c>
      <c r="R67">
        <f t="shared" ref="R67:R130" si="13">Q67-F67-G67-I67-K67-L67</f>
        <v>598</v>
      </c>
      <c r="S67">
        <f t="shared" ref="S67:S130" si="14">C67*0.264</f>
        <v>404.18400000000003</v>
      </c>
      <c r="T67">
        <f t="shared" ref="T67:T130" si="15">(C67-D67-E67)*0.264</f>
        <v>354.28800000000001</v>
      </c>
      <c r="U67" s="21">
        <f t="shared" ref="U67:U130" si="16">R67/Q67</f>
        <v>0.76765083440308091</v>
      </c>
      <c r="V67" s="21">
        <f t="shared" ref="V67:V130" si="17">(C67-D67-E67)/C67</f>
        <v>0.8765512736773351</v>
      </c>
      <c r="W67" s="21">
        <f t="shared" ref="W67:W130" si="18">S67/R67</f>
        <v>0.67589297658862879</v>
      </c>
      <c r="X67">
        <f t="shared" ref="X67:X130" si="19">U67*V67*W67</f>
        <v>0.45479845956354303</v>
      </c>
    </row>
    <row r="68" spans="1:24" x14ac:dyDescent="0.3">
      <c r="A68" s="2">
        <v>67</v>
      </c>
      <c r="B68" s="2" t="s">
        <v>2</v>
      </c>
      <c r="C68" s="2">
        <f>Usinage!C68-Usinage!D68-Usinage!E68</f>
        <v>1456</v>
      </c>
      <c r="D68" s="15">
        <v>53</v>
      </c>
      <c r="E68" s="15">
        <v>146</v>
      </c>
      <c r="F68" s="18">
        <v>46</v>
      </c>
      <c r="G68" s="18">
        <v>44</v>
      </c>
      <c r="H68" s="19">
        <v>9</v>
      </c>
      <c r="I68" s="18">
        <v>33</v>
      </c>
      <c r="J68" s="19">
        <v>20</v>
      </c>
      <c r="L68" s="18">
        <v>102</v>
      </c>
      <c r="N68" s="19">
        <v>5</v>
      </c>
      <c r="O68" s="20">
        <f t="shared" si="10"/>
        <v>150</v>
      </c>
      <c r="P68" s="1">
        <f t="shared" si="11"/>
        <v>960</v>
      </c>
      <c r="Q68">
        <f t="shared" si="12"/>
        <v>776</v>
      </c>
      <c r="R68">
        <f t="shared" si="13"/>
        <v>551</v>
      </c>
      <c r="S68">
        <f t="shared" si="14"/>
        <v>384.38400000000001</v>
      </c>
      <c r="T68">
        <f t="shared" si="15"/>
        <v>331.84800000000001</v>
      </c>
      <c r="U68" s="21">
        <f t="shared" si="16"/>
        <v>0.71005154639175261</v>
      </c>
      <c r="V68" s="21">
        <f t="shared" si="17"/>
        <v>0.86332417582417587</v>
      </c>
      <c r="W68" s="21">
        <f t="shared" si="18"/>
        <v>0.69761161524500914</v>
      </c>
      <c r="X68">
        <f t="shared" si="19"/>
        <v>0.42763917525773204</v>
      </c>
    </row>
    <row r="69" spans="1:24" x14ac:dyDescent="0.3">
      <c r="A69" s="2">
        <v>68</v>
      </c>
      <c r="B69" s="2" t="s">
        <v>5</v>
      </c>
      <c r="C69" s="2">
        <f>Usinage!C69-Usinage!D69-Usinage!E69</f>
        <v>1399</v>
      </c>
      <c r="D69" s="15">
        <v>56</v>
      </c>
      <c r="E69" s="15">
        <v>153</v>
      </c>
      <c r="F69" s="18">
        <v>48</v>
      </c>
      <c r="G69" s="18">
        <v>26</v>
      </c>
      <c r="H69" s="19">
        <v>6</v>
      </c>
      <c r="I69" s="18">
        <v>34</v>
      </c>
      <c r="J69" s="19">
        <v>24</v>
      </c>
      <c r="L69" s="18">
        <v>95</v>
      </c>
      <c r="O69" s="20">
        <f t="shared" si="10"/>
        <v>150</v>
      </c>
      <c r="P69" s="1">
        <f t="shared" si="11"/>
        <v>960</v>
      </c>
      <c r="Q69">
        <f t="shared" si="12"/>
        <v>780</v>
      </c>
      <c r="R69">
        <f t="shared" si="13"/>
        <v>577</v>
      </c>
      <c r="S69">
        <f t="shared" si="14"/>
        <v>369.33600000000001</v>
      </c>
      <c r="T69">
        <f t="shared" si="15"/>
        <v>314.16000000000003</v>
      </c>
      <c r="U69" s="21">
        <f t="shared" si="16"/>
        <v>0.73974358974358978</v>
      </c>
      <c r="V69" s="21">
        <f t="shared" si="17"/>
        <v>0.8506075768406004</v>
      </c>
      <c r="W69" s="21">
        <f t="shared" si="18"/>
        <v>0.64009705372616987</v>
      </c>
      <c r="X69">
        <f t="shared" si="19"/>
        <v>0.40276923076923077</v>
      </c>
    </row>
    <row r="70" spans="1:24" x14ac:dyDescent="0.3">
      <c r="A70" s="2">
        <v>69</v>
      </c>
      <c r="B70" s="2" t="s">
        <v>5</v>
      </c>
      <c r="C70" s="2">
        <f>Usinage!C70-Usinage!D70-Usinage!E70</f>
        <v>1644</v>
      </c>
      <c r="D70" s="15">
        <v>52</v>
      </c>
      <c r="E70" s="15">
        <v>188</v>
      </c>
      <c r="G70" s="18">
        <v>32</v>
      </c>
      <c r="H70" s="19">
        <v>7</v>
      </c>
      <c r="I70" s="18">
        <v>29</v>
      </c>
      <c r="J70" s="19">
        <v>23</v>
      </c>
      <c r="L70" s="18">
        <v>114</v>
      </c>
      <c r="O70" s="20">
        <f t="shared" si="10"/>
        <v>150</v>
      </c>
      <c r="P70" s="1">
        <f t="shared" si="11"/>
        <v>960</v>
      </c>
      <c r="Q70">
        <f t="shared" si="12"/>
        <v>780</v>
      </c>
      <c r="R70">
        <f t="shared" si="13"/>
        <v>605</v>
      </c>
      <c r="S70">
        <f t="shared" si="14"/>
        <v>434.01600000000002</v>
      </c>
      <c r="T70">
        <f t="shared" si="15"/>
        <v>370.65600000000001</v>
      </c>
      <c r="U70" s="21">
        <f t="shared" si="16"/>
        <v>0.77564102564102566</v>
      </c>
      <c r="V70" s="21">
        <f t="shared" si="17"/>
        <v>0.85401459854014594</v>
      </c>
      <c r="W70" s="21">
        <f t="shared" si="18"/>
        <v>0.71738181818181823</v>
      </c>
      <c r="X70">
        <f t="shared" si="19"/>
        <v>0.47520000000000001</v>
      </c>
    </row>
    <row r="71" spans="1:24" x14ac:dyDescent="0.3">
      <c r="A71" s="2">
        <v>70</v>
      </c>
      <c r="B71" s="2" t="s">
        <v>3</v>
      </c>
      <c r="C71" s="2">
        <f>Usinage!C71-Usinage!D71-Usinage!E71</f>
        <v>1625</v>
      </c>
      <c r="D71" s="15">
        <v>40</v>
      </c>
      <c r="E71" s="15">
        <v>167</v>
      </c>
      <c r="F71" s="18">
        <v>49</v>
      </c>
      <c r="G71" s="18">
        <v>39</v>
      </c>
      <c r="H71" s="19">
        <v>7</v>
      </c>
      <c r="I71" s="18">
        <v>32</v>
      </c>
      <c r="J71" s="19">
        <v>23</v>
      </c>
      <c r="L71" s="18">
        <v>112</v>
      </c>
      <c r="O71" s="20">
        <f t="shared" si="10"/>
        <v>150</v>
      </c>
      <c r="P71" s="1">
        <f t="shared" si="11"/>
        <v>960</v>
      </c>
      <c r="Q71">
        <f t="shared" si="12"/>
        <v>780</v>
      </c>
      <c r="R71">
        <f t="shared" si="13"/>
        <v>548</v>
      </c>
      <c r="S71">
        <f t="shared" si="14"/>
        <v>429</v>
      </c>
      <c r="T71">
        <f t="shared" si="15"/>
        <v>374.35200000000003</v>
      </c>
      <c r="U71" s="21">
        <f t="shared" si="16"/>
        <v>0.70256410256410251</v>
      </c>
      <c r="V71" s="21">
        <f t="shared" si="17"/>
        <v>0.87261538461538457</v>
      </c>
      <c r="W71" s="21">
        <f t="shared" si="18"/>
        <v>0.78284671532846717</v>
      </c>
      <c r="X71">
        <f t="shared" si="19"/>
        <v>0.47993846153846148</v>
      </c>
    </row>
    <row r="72" spans="1:24" x14ac:dyDescent="0.3">
      <c r="A72" s="2">
        <v>71</v>
      </c>
      <c r="B72" s="2" t="s">
        <v>3</v>
      </c>
      <c r="C72" s="2">
        <f>Usinage!C72-Usinage!D72-Usinage!E72</f>
        <v>1517</v>
      </c>
      <c r="D72" s="15">
        <v>50</v>
      </c>
      <c r="E72" s="15">
        <v>180</v>
      </c>
      <c r="F72" s="18">
        <v>49</v>
      </c>
      <c r="G72" s="18">
        <v>52</v>
      </c>
      <c r="H72" s="19">
        <v>5</v>
      </c>
      <c r="I72" s="18">
        <v>29</v>
      </c>
      <c r="J72" s="19">
        <v>22</v>
      </c>
      <c r="L72" s="18">
        <v>144</v>
      </c>
      <c r="N72" s="19">
        <v>8</v>
      </c>
      <c r="O72" s="20">
        <f t="shared" si="10"/>
        <v>150</v>
      </c>
      <c r="P72" s="1">
        <f t="shared" si="11"/>
        <v>960</v>
      </c>
      <c r="Q72">
        <f t="shared" si="12"/>
        <v>775</v>
      </c>
      <c r="R72">
        <f t="shared" si="13"/>
        <v>501</v>
      </c>
      <c r="S72">
        <f t="shared" si="14"/>
        <v>400.488</v>
      </c>
      <c r="T72">
        <f t="shared" si="15"/>
        <v>339.76800000000003</v>
      </c>
      <c r="U72" s="21">
        <f t="shared" si="16"/>
        <v>0.64645161290322584</v>
      </c>
      <c r="V72" s="21">
        <f t="shared" si="17"/>
        <v>0.84838497033618987</v>
      </c>
      <c r="W72" s="21">
        <f t="shared" si="18"/>
        <v>0.79937724550898204</v>
      </c>
      <c r="X72">
        <f t="shared" si="19"/>
        <v>0.43841032258064522</v>
      </c>
    </row>
    <row r="73" spans="1:24" x14ac:dyDescent="0.3">
      <c r="A73" s="2">
        <v>72</v>
      </c>
      <c r="B73" s="2" t="s">
        <v>5</v>
      </c>
      <c r="C73" s="2">
        <f>Usinage!C73-Usinage!D73-Usinage!E73</f>
        <v>1553</v>
      </c>
      <c r="D73" s="15">
        <v>41</v>
      </c>
      <c r="E73" s="15">
        <v>195</v>
      </c>
      <c r="F73" s="18">
        <v>41</v>
      </c>
      <c r="G73" s="18">
        <v>30</v>
      </c>
      <c r="H73" s="19">
        <v>10</v>
      </c>
      <c r="I73" s="18">
        <v>38</v>
      </c>
      <c r="J73" s="19">
        <v>21</v>
      </c>
      <c r="L73" s="18">
        <v>120</v>
      </c>
      <c r="O73" s="20">
        <f t="shared" si="10"/>
        <v>150</v>
      </c>
      <c r="P73" s="1">
        <f t="shared" si="11"/>
        <v>960</v>
      </c>
      <c r="Q73">
        <f t="shared" si="12"/>
        <v>779</v>
      </c>
      <c r="R73">
        <f t="shared" si="13"/>
        <v>550</v>
      </c>
      <c r="S73">
        <f t="shared" si="14"/>
        <v>409.99200000000002</v>
      </c>
      <c r="T73">
        <f t="shared" si="15"/>
        <v>347.68799999999999</v>
      </c>
      <c r="U73" s="21">
        <f t="shared" si="16"/>
        <v>0.70603337612323491</v>
      </c>
      <c r="V73" s="21">
        <f t="shared" si="17"/>
        <v>0.84803605924018033</v>
      </c>
      <c r="W73" s="21">
        <f t="shared" si="18"/>
        <v>0.74543999999999999</v>
      </c>
      <c r="X73">
        <f t="shared" si="19"/>
        <v>0.44632605905006423</v>
      </c>
    </row>
    <row r="74" spans="1:24" x14ac:dyDescent="0.3">
      <c r="A74" s="2">
        <v>73</v>
      </c>
      <c r="B74" s="2" t="s">
        <v>2</v>
      </c>
      <c r="C74" s="2">
        <f>Usinage!C74-Usinage!D74-Usinage!E74</f>
        <v>1518</v>
      </c>
      <c r="D74" s="15">
        <v>46</v>
      </c>
      <c r="E74" s="15">
        <v>182</v>
      </c>
      <c r="F74" s="18">
        <v>43</v>
      </c>
      <c r="G74" s="18">
        <v>43</v>
      </c>
      <c r="H74" s="19">
        <v>9</v>
      </c>
      <c r="I74" s="18">
        <v>38</v>
      </c>
      <c r="J74" s="19">
        <v>23</v>
      </c>
      <c r="L74" s="18">
        <v>111</v>
      </c>
      <c r="O74" s="20">
        <f t="shared" si="10"/>
        <v>150</v>
      </c>
      <c r="P74" s="1">
        <f t="shared" si="11"/>
        <v>960</v>
      </c>
      <c r="Q74">
        <f t="shared" si="12"/>
        <v>778</v>
      </c>
      <c r="R74">
        <f t="shared" si="13"/>
        <v>543</v>
      </c>
      <c r="S74">
        <f t="shared" si="14"/>
        <v>400.75200000000001</v>
      </c>
      <c r="T74">
        <f t="shared" si="15"/>
        <v>340.56</v>
      </c>
      <c r="U74" s="21">
        <f t="shared" si="16"/>
        <v>0.69794344473007708</v>
      </c>
      <c r="V74" s="21">
        <f t="shared" si="17"/>
        <v>0.84980237154150196</v>
      </c>
      <c r="W74" s="21">
        <f t="shared" si="18"/>
        <v>0.73803314917127072</v>
      </c>
      <c r="X74">
        <f t="shared" si="19"/>
        <v>0.43773778920308481</v>
      </c>
    </row>
    <row r="75" spans="1:24" x14ac:dyDescent="0.3">
      <c r="A75" s="2">
        <v>74</v>
      </c>
      <c r="B75" s="2" t="s">
        <v>3</v>
      </c>
      <c r="C75" s="2">
        <f>Usinage!C75-Usinage!D75-Usinage!E75</f>
        <v>1560</v>
      </c>
      <c r="D75" s="15">
        <v>57</v>
      </c>
      <c r="E75" s="15">
        <v>135</v>
      </c>
      <c r="G75" s="18">
        <v>42</v>
      </c>
      <c r="H75" s="19">
        <v>9</v>
      </c>
      <c r="I75" s="18">
        <v>39</v>
      </c>
      <c r="J75" s="19">
        <v>22</v>
      </c>
      <c r="L75" s="18">
        <v>110</v>
      </c>
      <c r="O75" s="20">
        <f t="shared" si="10"/>
        <v>150</v>
      </c>
      <c r="P75" s="1">
        <f t="shared" si="11"/>
        <v>960</v>
      </c>
      <c r="Q75">
        <f t="shared" si="12"/>
        <v>779</v>
      </c>
      <c r="R75">
        <f t="shared" si="13"/>
        <v>588</v>
      </c>
      <c r="S75">
        <f t="shared" si="14"/>
        <v>411.84000000000003</v>
      </c>
      <c r="T75">
        <f t="shared" si="15"/>
        <v>361.15200000000004</v>
      </c>
      <c r="U75" s="21">
        <f t="shared" si="16"/>
        <v>0.754813863928113</v>
      </c>
      <c r="V75" s="21">
        <f t="shared" si="17"/>
        <v>0.87692307692307692</v>
      </c>
      <c r="W75" s="21">
        <f t="shared" si="18"/>
        <v>0.70040816326530619</v>
      </c>
      <c r="X75">
        <f t="shared" si="19"/>
        <v>0.46360975609756105</v>
      </c>
    </row>
    <row r="76" spans="1:24" x14ac:dyDescent="0.3">
      <c r="A76" s="2">
        <v>75</v>
      </c>
      <c r="B76" s="2" t="s">
        <v>3</v>
      </c>
      <c r="C76" s="2">
        <f>Usinage!C76-Usinage!D76-Usinage!E76</f>
        <v>1429</v>
      </c>
      <c r="D76" s="15">
        <v>60</v>
      </c>
      <c r="E76" s="15">
        <v>189</v>
      </c>
      <c r="F76" s="18">
        <v>31</v>
      </c>
      <c r="G76" s="18">
        <v>37</v>
      </c>
      <c r="H76" s="19">
        <v>7</v>
      </c>
      <c r="I76" s="18">
        <v>32</v>
      </c>
      <c r="J76" s="19">
        <v>21</v>
      </c>
      <c r="L76" s="18">
        <v>109</v>
      </c>
      <c r="N76" s="19">
        <v>8</v>
      </c>
      <c r="O76" s="20">
        <f t="shared" si="10"/>
        <v>150</v>
      </c>
      <c r="P76" s="1">
        <f t="shared" si="11"/>
        <v>960</v>
      </c>
      <c r="Q76">
        <f t="shared" si="12"/>
        <v>774</v>
      </c>
      <c r="R76">
        <f t="shared" si="13"/>
        <v>565</v>
      </c>
      <c r="S76">
        <f t="shared" si="14"/>
        <v>377.25600000000003</v>
      </c>
      <c r="T76">
        <f t="shared" si="15"/>
        <v>311.52000000000004</v>
      </c>
      <c r="U76" s="21">
        <f t="shared" si="16"/>
        <v>0.72997416020671835</v>
      </c>
      <c r="V76" s="21">
        <f t="shared" si="17"/>
        <v>0.8257522743177047</v>
      </c>
      <c r="W76" s="21">
        <f t="shared" si="18"/>
        <v>0.66770973451327442</v>
      </c>
      <c r="X76">
        <f t="shared" si="19"/>
        <v>0.40248062015503883</v>
      </c>
    </row>
    <row r="77" spans="1:24" x14ac:dyDescent="0.3">
      <c r="A77" s="2">
        <v>76</v>
      </c>
      <c r="B77" s="2" t="s">
        <v>5</v>
      </c>
      <c r="C77" s="2">
        <f>Usinage!C77-Usinage!D77-Usinage!E77</f>
        <v>1492</v>
      </c>
      <c r="D77" s="15">
        <v>49</v>
      </c>
      <c r="E77" s="15">
        <v>184</v>
      </c>
      <c r="F77" s="18">
        <v>33</v>
      </c>
      <c r="G77" s="18">
        <v>41</v>
      </c>
      <c r="H77" s="19">
        <v>10</v>
      </c>
      <c r="I77" s="18">
        <v>30</v>
      </c>
      <c r="J77" s="19">
        <v>20</v>
      </c>
      <c r="L77" s="18">
        <v>119</v>
      </c>
      <c r="O77" s="20">
        <f t="shared" si="10"/>
        <v>150</v>
      </c>
      <c r="P77" s="1">
        <f t="shared" si="11"/>
        <v>960</v>
      </c>
      <c r="Q77">
        <f t="shared" si="12"/>
        <v>780</v>
      </c>
      <c r="R77">
        <f t="shared" si="13"/>
        <v>557</v>
      </c>
      <c r="S77">
        <f t="shared" si="14"/>
        <v>393.88800000000003</v>
      </c>
      <c r="T77">
        <f t="shared" si="15"/>
        <v>332.37600000000003</v>
      </c>
      <c r="U77" s="21">
        <f t="shared" si="16"/>
        <v>0.71410256410256412</v>
      </c>
      <c r="V77" s="21">
        <f t="shared" si="17"/>
        <v>0.84383378016085786</v>
      </c>
      <c r="W77" s="21">
        <f t="shared" si="18"/>
        <v>0.70715978456014372</v>
      </c>
      <c r="X77">
        <f t="shared" si="19"/>
        <v>0.42612307692307694</v>
      </c>
    </row>
    <row r="78" spans="1:24" x14ac:dyDescent="0.3">
      <c r="A78" s="2">
        <v>77</v>
      </c>
      <c r="B78" s="2" t="s">
        <v>2</v>
      </c>
      <c r="C78" s="2">
        <f>Usinage!C78-Usinage!D78-Usinage!E78</f>
        <v>1450</v>
      </c>
      <c r="D78" s="15">
        <v>51</v>
      </c>
      <c r="E78" s="15">
        <v>163</v>
      </c>
      <c r="F78" s="18">
        <v>40</v>
      </c>
      <c r="G78" s="18">
        <v>46</v>
      </c>
      <c r="H78" s="19">
        <v>10</v>
      </c>
      <c r="I78" s="18">
        <v>24</v>
      </c>
      <c r="J78" s="19">
        <v>24</v>
      </c>
      <c r="L78" s="18">
        <v>133</v>
      </c>
      <c r="O78" s="20">
        <f t="shared" si="10"/>
        <v>150</v>
      </c>
      <c r="P78" s="1">
        <f t="shared" si="11"/>
        <v>960</v>
      </c>
      <c r="Q78">
        <f t="shared" si="12"/>
        <v>776</v>
      </c>
      <c r="R78">
        <f t="shared" si="13"/>
        <v>533</v>
      </c>
      <c r="S78">
        <f t="shared" si="14"/>
        <v>382.8</v>
      </c>
      <c r="T78">
        <f t="shared" si="15"/>
        <v>326.30400000000003</v>
      </c>
      <c r="U78" s="21">
        <f t="shared" si="16"/>
        <v>0.68685567010309279</v>
      </c>
      <c r="V78" s="21">
        <f t="shared" si="17"/>
        <v>0.85241379310344823</v>
      </c>
      <c r="W78" s="21">
        <f t="shared" si="18"/>
        <v>0.71819887429643525</v>
      </c>
      <c r="X78">
        <f t="shared" si="19"/>
        <v>0.42049484536082476</v>
      </c>
    </row>
    <row r="79" spans="1:24" x14ac:dyDescent="0.3">
      <c r="A79" s="2">
        <v>78</v>
      </c>
      <c r="B79" s="2" t="s">
        <v>4</v>
      </c>
      <c r="C79" s="2">
        <f>Usinage!C79-Usinage!D79-Usinage!E79</f>
        <v>1365</v>
      </c>
      <c r="D79" s="15">
        <v>54</v>
      </c>
      <c r="E79" s="15">
        <v>198</v>
      </c>
      <c r="G79" s="18">
        <v>55</v>
      </c>
      <c r="H79" s="19">
        <v>8</v>
      </c>
      <c r="I79" s="18">
        <v>38</v>
      </c>
      <c r="J79" s="19">
        <v>25</v>
      </c>
      <c r="L79" s="18">
        <v>143</v>
      </c>
      <c r="O79" s="20">
        <f t="shared" si="10"/>
        <v>150</v>
      </c>
      <c r="P79" s="1">
        <f t="shared" si="11"/>
        <v>960</v>
      </c>
      <c r="Q79">
        <f t="shared" si="12"/>
        <v>777</v>
      </c>
      <c r="R79">
        <f t="shared" si="13"/>
        <v>541</v>
      </c>
      <c r="S79">
        <f t="shared" si="14"/>
        <v>360.36</v>
      </c>
      <c r="T79">
        <f t="shared" si="15"/>
        <v>293.83199999999999</v>
      </c>
      <c r="U79" s="21">
        <f t="shared" si="16"/>
        <v>0.69626769626769625</v>
      </c>
      <c r="V79" s="21">
        <f t="shared" si="17"/>
        <v>0.81538461538461537</v>
      </c>
      <c r="W79" s="21">
        <f t="shared" si="18"/>
        <v>0.66609981515711647</v>
      </c>
      <c r="X79">
        <f t="shared" si="19"/>
        <v>0.3781621621621622</v>
      </c>
    </row>
    <row r="80" spans="1:24" x14ac:dyDescent="0.3">
      <c r="A80" s="2">
        <v>79</v>
      </c>
      <c r="B80" s="2" t="s">
        <v>3</v>
      </c>
      <c r="C80" s="2">
        <f>Usinage!C80-Usinage!D80-Usinage!E80</f>
        <v>1380</v>
      </c>
      <c r="D80" s="15">
        <v>60</v>
      </c>
      <c r="E80" s="15">
        <v>161</v>
      </c>
      <c r="F80" s="18">
        <v>42</v>
      </c>
      <c r="G80" s="18">
        <v>51</v>
      </c>
      <c r="H80" s="19">
        <v>7</v>
      </c>
      <c r="I80" s="18">
        <v>33</v>
      </c>
      <c r="J80" s="19">
        <v>23</v>
      </c>
      <c r="L80" s="18">
        <v>136</v>
      </c>
      <c r="O80" s="20">
        <f t="shared" si="10"/>
        <v>150</v>
      </c>
      <c r="P80" s="1">
        <f t="shared" si="11"/>
        <v>960</v>
      </c>
      <c r="Q80">
        <f t="shared" si="12"/>
        <v>780</v>
      </c>
      <c r="R80">
        <f t="shared" si="13"/>
        <v>518</v>
      </c>
      <c r="S80">
        <f t="shared" si="14"/>
        <v>364.32</v>
      </c>
      <c r="T80">
        <f t="shared" si="15"/>
        <v>305.976</v>
      </c>
      <c r="U80" s="21">
        <f t="shared" si="16"/>
        <v>0.66410256410256407</v>
      </c>
      <c r="V80" s="21">
        <f t="shared" si="17"/>
        <v>0.83985507246376812</v>
      </c>
      <c r="W80" s="21">
        <f t="shared" si="18"/>
        <v>0.70332046332046327</v>
      </c>
      <c r="X80">
        <f t="shared" si="19"/>
        <v>0.39227692307692308</v>
      </c>
    </row>
    <row r="81" spans="1:24" x14ac:dyDescent="0.3">
      <c r="A81" s="2">
        <v>80</v>
      </c>
      <c r="B81" s="2" t="s">
        <v>3</v>
      </c>
      <c r="C81" s="2">
        <f>Usinage!C81-Usinage!D81-Usinage!E81</f>
        <v>1453</v>
      </c>
      <c r="D81" s="15">
        <v>50</v>
      </c>
      <c r="E81" s="15">
        <v>159</v>
      </c>
      <c r="G81" s="18">
        <v>50</v>
      </c>
      <c r="H81" s="19">
        <v>7</v>
      </c>
      <c r="I81" s="18">
        <v>42</v>
      </c>
      <c r="J81" s="19">
        <v>22</v>
      </c>
      <c r="L81" s="18">
        <v>104</v>
      </c>
      <c r="N81" s="19">
        <v>10</v>
      </c>
      <c r="O81" s="20">
        <f t="shared" si="10"/>
        <v>150</v>
      </c>
      <c r="P81" s="1">
        <f t="shared" si="11"/>
        <v>960</v>
      </c>
      <c r="Q81">
        <f t="shared" si="12"/>
        <v>771</v>
      </c>
      <c r="R81">
        <f t="shared" si="13"/>
        <v>575</v>
      </c>
      <c r="S81">
        <f t="shared" si="14"/>
        <v>383.59200000000004</v>
      </c>
      <c r="T81">
        <f t="shared" si="15"/>
        <v>328.416</v>
      </c>
      <c r="U81" s="21">
        <f t="shared" si="16"/>
        <v>0.74578469520103763</v>
      </c>
      <c r="V81" s="21">
        <f t="shared" si="17"/>
        <v>0.85615966964900203</v>
      </c>
      <c r="W81" s="21">
        <f t="shared" si="18"/>
        <v>0.6671165217391305</v>
      </c>
      <c r="X81">
        <f t="shared" si="19"/>
        <v>0.42596108949416345</v>
      </c>
    </row>
    <row r="82" spans="1:24" x14ac:dyDescent="0.3">
      <c r="A82" s="2">
        <v>81</v>
      </c>
      <c r="B82" s="2" t="s">
        <v>3</v>
      </c>
      <c r="C82" s="2">
        <f>Usinage!C82-Usinage!D82-Usinage!E82</f>
        <v>1540</v>
      </c>
      <c r="D82" s="15">
        <v>55</v>
      </c>
      <c r="E82" s="15">
        <v>174</v>
      </c>
      <c r="F82" s="18">
        <v>46</v>
      </c>
      <c r="G82" s="18">
        <v>27</v>
      </c>
      <c r="H82" s="19">
        <v>7</v>
      </c>
      <c r="I82" s="18">
        <v>39</v>
      </c>
      <c r="J82" s="19">
        <v>25</v>
      </c>
      <c r="L82" s="18">
        <v>136</v>
      </c>
      <c r="O82" s="20">
        <f t="shared" si="10"/>
        <v>150</v>
      </c>
      <c r="P82" s="1">
        <f t="shared" si="11"/>
        <v>960</v>
      </c>
      <c r="Q82">
        <f t="shared" si="12"/>
        <v>778</v>
      </c>
      <c r="R82">
        <f t="shared" si="13"/>
        <v>530</v>
      </c>
      <c r="S82">
        <f t="shared" si="14"/>
        <v>406.56</v>
      </c>
      <c r="T82">
        <f t="shared" si="15"/>
        <v>346.10400000000004</v>
      </c>
      <c r="U82" s="21">
        <f t="shared" si="16"/>
        <v>0.68123393316195369</v>
      </c>
      <c r="V82" s="21">
        <f t="shared" si="17"/>
        <v>0.85129870129870133</v>
      </c>
      <c r="W82" s="21">
        <f t="shared" si="18"/>
        <v>0.76709433962264151</v>
      </c>
      <c r="X82">
        <f t="shared" si="19"/>
        <v>0.44486375321336763</v>
      </c>
    </row>
    <row r="83" spans="1:24" x14ac:dyDescent="0.3">
      <c r="A83" s="2">
        <v>82</v>
      </c>
      <c r="B83" s="2" t="s">
        <v>5</v>
      </c>
      <c r="C83" s="2">
        <f>Usinage!C83-Usinage!D83-Usinage!E83</f>
        <v>1464</v>
      </c>
      <c r="D83" s="15">
        <v>43</v>
      </c>
      <c r="E83" s="15">
        <v>162</v>
      </c>
      <c r="G83" s="18">
        <v>32</v>
      </c>
      <c r="H83" s="19">
        <v>5</v>
      </c>
      <c r="I83" s="18">
        <v>42</v>
      </c>
      <c r="J83" s="19">
        <v>20</v>
      </c>
      <c r="L83" s="18">
        <v>128</v>
      </c>
      <c r="O83" s="20">
        <f t="shared" si="10"/>
        <v>150</v>
      </c>
      <c r="P83" s="1">
        <f t="shared" si="11"/>
        <v>960</v>
      </c>
      <c r="Q83">
        <f t="shared" si="12"/>
        <v>785</v>
      </c>
      <c r="R83">
        <f t="shared" si="13"/>
        <v>583</v>
      </c>
      <c r="S83">
        <f t="shared" si="14"/>
        <v>386.49600000000004</v>
      </c>
      <c r="T83">
        <f t="shared" si="15"/>
        <v>332.37600000000003</v>
      </c>
      <c r="U83" s="21">
        <f t="shared" si="16"/>
        <v>0.74267515923566874</v>
      </c>
      <c r="V83" s="21">
        <f t="shared" si="17"/>
        <v>0.85997267759562845</v>
      </c>
      <c r="W83" s="21">
        <f t="shared" si="18"/>
        <v>0.66294339622641518</v>
      </c>
      <c r="X83">
        <f t="shared" si="19"/>
        <v>0.42340891719745227</v>
      </c>
    </row>
    <row r="84" spans="1:24" x14ac:dyDescent="0.3">
      <c r="A84" s="2">
        <v>83</v>
      </c>
      <c r="B84" s="2" t="s">
        <v>4</v>
      </c>
      <c r="C84" s="2">
        <f>Usinage!C84-Usinage!D84-Usinage!E84</f>
        <v>1518</v>
      </c>
      <c r="D84" s="15">
        <v>53</v>
      </c>
      <c r="E84" s="15">
        <v>146</v>
      </c>
      <c r="F84" s="18">
        <v>49</v>
      </c>
      <c r="G84" s="18">
        <v>38</v>
      </c>
      <c r="H84" s="19">
        <v>9</v>
      </c>
      <c r="I84" s="18">
        <v>28</v>
      </c>
      <c r="J84" s="19">
        <v>23</v>
      </c>
      <c r="L84" s="18">
        <v>111</v>
      </c>
      <c r="N84" s="19">
        <v>6</v>
      </c>
      <c r="O84" s="20">
        <f t="shared" si="10"/>
        <v>150</v>
      </c>
      <c r="P84" s="1">
        <f t="shared" si="11"/>
        <v>960</v>
      </c>
      <c r="Q84">
        <f t="shared" si="12"/>
        <v>772</v>
      </c>
      <c r="R84">
        <f t="shared" si="13"/>
        <v>546</v>
      </c>
      <c r="S84">
        <f t="shared" si="14"/>
        <v>400.75200000000001</v>
      </c>
      <c r="T84">
        <f t="shared" si="15"/>
        <v>348.21600000000001</v>
      </c>
      <c r="U84" s="21">
        <f t="shared" si="16"/>
        <v>0.70725388601036265</v>
      </c>
      <c r="V84" s="21">
        <f t="shared" si="17"/>
        <v>0.86890645586297766</v>
      </c>
      <c r="W84" s="21">
        <f t="shared" si="18"/>
        <v>0.73397802197802198</v>
      </c>
      <c r="X84">
        <f t="shared" si="19"/>
        <v>0.45105699481865286</v>
      </c>
    </row>
    <row r="85" spans="1:24" x14ac:dyDescent="0.3">
      <c r="A85" s="2">
        <v>84</v>
      </c>
      <c r="B85" s="2" t="s">
        <v>3</v>
      </c>
      <c r="C85" s="2">
        <f>Usinage!C85-Usinage!D85-Usinage!E85</f>
        <v>1418</v>
      </c>
      <c r="D85" s="15">
        <v>53</v>
      </c>
      <c r="E85" s="15">
        <v>145</v>
      </c>
      <c r="F85" s="18">
        <v>30</v>
      </c>
      <c r="G85" s="18">
        <v>22</v>
      </c>
      <c r="H85" s="19">
        <v>5</v>
      </c>
      <c r="I85" s="18">
        <v>39</v>
      </c>
      <c r="J85" s="19">
        <v>24</v>
      </c>
      <c r="L85" s="18">
        <v>95</v>
      </c>
      <c r="O85" s="20">
        <f t="shared" si="10"/>
        <v>150</v>
      </c>
      <c r="P85" s="1">
        <f t="shared" si="11"/>
        <v>960</v>
      </c>
      <c r="Q85">
        <f t="shared" si="12"/>
        <v>781</v>
      </c>
      <c r="R85">
        <f t="shared" si="13"/>
        <v>595</v>
      </c>
      <c r="S85">
        <f t="shared" si="14"/>
        <v>374.35200000000003</v>
      </c>
      <c r="T85">
        <f t="shared" si="15"/>
        <v>322.08000000000004</v>
      </c>
      <c r="U85" s="21">
        <f t="shared" si="16"/>
        <v>0.76184379001280411</v>
      </c>
      <c r="V85" s="21">
        <f t="shared" si="17"/>
        <v>0.86036671368124118</v>
      </c>
      <c r="W85" s="21">
        <f t="shared" si="18"/>
        <v>0.62916302521008405</v>
      </c>
      <c r="X85">
        <f t="shared" si="19"/>
        <v>0.41239436619718312</v>
      </c>
    </row>
    <row r="86" spans="1:24" x14ac:dyDescent="0.3">
      <c r="A86" s="2">
        <v>85</v>
      </c>
      <c r="B86" s="2" t="s">
        <v>2</v>
      </c>
      <c r="C86" s="2">
        <f>Usinage!C86-Usinage!D86-Usinage!E86</f>
        <v>1441</v>
      </c>
      <c r="D86" s="15">
        <v>41</v>
      </c>
      <c r="E86" s="15">
        <v>161</v>
      </c>
      <c r="F86" s="18">
        <v>49</v>
      </c>
      <c r="G86" s="18">
        <v>28</v>
      </c>
      <c r="H86" s="19">
        <v>5</v>
      </c>
      <c r="I86" s="18">
        <v>45</v>
      </c>
      <c r="J86" s="19">
        <v>23</v>
      </c>
      <c r="L86" s="18">
        <v>103</v>
      </c>
      <c r="O86" s="20">
        <f t="shared" si="10"/>
        <v>150</v>
      </c>
      <c r="P86" s="1">
        <f t="shared" si="11"/>
        <v>960</v>
      </c>
      <c r="Q86">
        <f t="shared" si="12"/>
        <v>782</v>
      </c>
      <c r="R86">
        <f t="shared" si="13"/>
        <v>557</v>
      </c>
      <c r="S86">
        <f t="shared" si="14"/>
        <v>380.42400000000004</v>
      </c>
      <c r="T86">
        <f t="shared" si="15"/>
        <v>327.096</v>
      </c>
      <c r="U86" s="21">
        <f t="shared" si="16"/>
        <v>0.71227621483375958</v>
      </c>
      <c r="V86" s="21">
        <f t="shared" si="17"/>
        <v>0.85981956974323381</v>
      </c>
      <c r="W86" s="21">
        <f t="shared" si="18"/>
        <v>0.68298743267504491</v>
      </c>
      <c r="X86">
        <f t="shared" si="19"/>
        <v>0.41828132992327366</v>
      </c>
    </row>
    <row r="87" spans="1:24" x14ac:dyDescent="0.3">
      <c r="A87" s="2">
        <v>86</v>
      </c>
      <c r="B87" s="2" t="s">
        <v>5</v>
      </c>
      <c r="C87" s="2">
        <f>Usinage!C87-Usinage!D87-Usinage!E87</f>
        <v>1477</v>
      </c>
      <c r="D87" s="15">
        <v>40</v>
      </c>
      <c r="E87" s="15">
        <v>166</v>
      </c>
      <c r="G87" s="18">
        <v>41</v>
      </c>
      <c r="H87" s="19">
        <v>8</v>
      </c>
      <c r="I87" s="18">
        <v>37</v>
      </c>
      <c r="J87" s="19">
        <v>20</v>
      </c>
      <c r="L87" s="18">
        <v>133</v>
      </c>
      <c r="O87" s="20">
        <f t="shared" si="10"/>
        <v>150</v>
      </c>
      <c r="P87" s="1">
        <f t="shared" si="11"/>
        <v>960</v>
      </c>
      <c r="Q87">
        <f t="shared" si="12"/>
        <v>782</v>
      </c>
      <c r="R87">
        <f t="shared" si="13"/>
        <v>571</v>
      </c>
      <c r="S87">
        <f t="shared" si="14"/>
        <v>389.928</v>
      </c>
      <c r="T87">
        <f t="shared" si="15"/>
        <v>335.54400000000004</v>
      </c>
      <c r="U87" s="21">
        <f t="shared" si="16"/>
        <v>0.73017902813299229</v>
      </c>
      <c r="V87" s="21">
        <f t="shared" si="17"/>
        <v>0.8605280974949221</v>
      </c>
      <c r="W87" s="21">
        <f t="shared" si="18"/>
        <v>0.68288616462346763</v>
      </c>
      <c r="X87">
        <f t="shared" si="19"/>
        <v>0.42908439897698208</v>
      </c>
    </row>
    <row r="88" spans="1:24" x14ac:dyDescent="0.3">
      <c r="A88" s="2">
        <v>87</v>
      </c>
      <c r="B88" s="2" t="s">
        <v>3</v>
      </c>
      <c r="C88" s="2">
        <f>Usinage!C88-Usinage!D88-Usinage!E88</f>
        <v>1482</v>
      </c>
      <c r="D88" s="15">
        <v>55</v>
      </c>
      <c r="E88" s="15">
        <v>170</v>
      </c>
      <c r="G88" s="18">
        <v>44</v>
      </c>
      <c r="H88" s="19">
        <v>6</v>
      </c>
      <c r="I88" s="18">
        <v>45</v>
      </c>
      <c r="J88" s="19">
        <v>22</v>
      </c>
      <c r="L88" s="18">
        <v>93</v>
      </c>
      <c r="N88" s="19">
        <v>5</v>
      </c>
      <c r="O88" s="20">
        <f t="shared" si="10"/>
        <v>150</v>
      </c>
      <c r="P88" s="1">
        <f t="shared" si="11"/>
        <v>960</v>
      </c>
      <c r="Q88">
        <f t="shared" si="12"/>
        <v>777</v>
      </c>
      <c r="R88">
        <f t="shared" si="13"/>
        <v>595</v>
      </c>
      <c r="S88">
        <f t="shared" si="14"/>
        <v>391.24799999999999</v>
      </c>
      <c r="T88">
        <f t="shared" si="15"/>
        <v>331.84800000000001</v>
      </c>
      <c r="U88" s="21">
        <f t="shared" si="16"/>
        <v>0.76576576576576572</v>
      </c>
      <c r="V88" s="21">
        <f t="shared" si="17"/>
        <v>0.84817813765182182</v>
      </c>
      <c r="W88" s="21">
        <f t="shared" si="18"/>
        <v>0.65755966386554621</v>
      </c>
      <c r="X88">
        <f t="shared" si="19"/>
        <v>0.42708880308880298</v>
      </c>
    </row>
    <row r="89" spans="1:24" x14ac:dyDescent="0.3">
      <c r="A89" s="2">
        <v>88</v>
      </c>
      <c r="B89" s="2" t="s">
        <v>3</v>
      </c>
      <c r="C89" s="2">
        <f>Usinage!C89-Usinage!D89-Usinage!E89</f>
        <v>1500</v>
      </c>
      <c r="D89" s="15">
        <v>56</v>
      </c>
      <c r="E89" s="15">
        <v>158</v>
      </c>
      <c r="G89" s="18">
        <v>33</v>
      </c>
      <c r="H89" s="19">
        <v>5</v>
      </c>
      <c r="I89" s="18">
        <v>42</v>
      </c>
      <c r="J89" s="19">
        <v>21</v>
      </c>
      <c r="L89" s="18">
        <v>120</v>
      </c>
      <c r="O89" s="20">
        <f t="shared" si="10"/>
        <v>150</v>
      </c>
      <c r="P89" s="1">
        <f t="shared" si="11"/>
        <v>960</v>
      </c>
      <c r="Q89">
        <f t="shared" si="12"/>
        <v>784</v>
      </c>
      <c r="R89">
        <f t="shared" si="13"/>
        <v>589</v>
      </c>
      <c r="S89">
        <f t="shared" si="14"/>
        <v>396</v>
      </c>
      <c r="T89">
        <f t="shared" si="15"/>
        <v>339.50400000000002</v>
      </c>
      <c r="U89" s="21">
        <f t="shared" si="16"/>
        <v>0.75127551020408168</v>
      </c>
      <c r="V89" s="21">
        <f t="shared" si="17"/>
        <v>0.85733333333333328</v>
      </c>
      <c r="W89" s="21">
        <f t="shared" si="18"/>
        <v>0.67232597623089985</v>
      </c>
      <c r="X89">
        <f t="shared" si="19"/>
        <v>0.43304081632653063</v>
      </c>
    </row>
    <row r="90" spans="1:24" x14ac:dyDescent="0.3">
      <c r="A90" s="2">
        <v>89</v>
      </c>
      <c r="B90" s="2" t="s">
        <v>5</v>
      </c>
      <c r="C90" s="2">
        <f>Usinage!C90-Usinage!D90-Usinage!E90</f>
        <v>1328</v>
      </c>
      <c r="D90" s="15">
        <v>51</v>
      </c>
      <c r="E90" s="15">
        <v>174</v>
      </c>
      <c r="F90" s="18">
        <v>37</v>
      </c>
      <c r="G90" s="18">
        <v>45</v>
      </c>
      <c r="H90" s="19">
        <v>7</v>
      </c>
      <c r="I90" s="18">
        <v>38</v>
      </c>
      <c r="J90" s="19">
        <v>23</v>
      </c>
      <c r="L90" s="18">
        <v>114</v>
      </c>
      <c r="O90" s="20">
        <f t="shared" si="10"/>
        <v>150</v>
      </c>
      <c r="P90" s="1">
        <f t="shared" si="11"/>
        <v>960</v>
      </c>
      <c r="Q90">
        <f t="shared" si="12"/>
        <v>780</v>
      </c>
      <c r="R90">
        <f t="shared" si="13"/>
        <v>546</v>
      </c>
      <c r="S90">
        <f t="shared" si="14"/>
        <v>350.59200000000004</v>
      </c>
      <c r="T90">
        <f t="shared" si="15"/>
        <v>291.19200000000001</v>
      </c>
      <c r="U90" s="21">
        <f t="shared" si="16"/>
        <v>0.7</v>
      </c>
      <c r="V90" s="21">
        <f t="shared" si="17"/>
        <v>0.83057228915662651</v>
      </c>
      <c r="W90" s="21">
        <f t="shared" si="18"/>
        <v>0.64210989010989017</v>
      </c>
      <c r="X90">
        <f t="shared" si="19"/>
        <v>0.37332307692307692</v>
      </c>
    </row>
    <row r="91" spans="1:24" x14ac:dyDescent="0.3">
      <c r="A91" s="2">
        <v>90</v>
      </c>
      <c r="B91" s="2" t="s">
        <v>5</v>
      </c>
      <c r="C91" s="2">
        <f>Usinage!C91-Usinage!D91-Usinage!E91</f>
        <v>1347</v>
      </c>
      <c r="D91" s="15">
        <v>52</v>
      </c>
      <c r="E91" s="15">
        <v>170</v>
      </c>
      <c r="F91" s="18">
        <v>44</v>
      </c>
      <c r="G91" s="18">
        <v>46</v>
      </c>
      <c r="H91" s="19">
        <v>9</v>
      </c>
      <c r="I91" s="18">
        <v>33</v>
      </c>
      <c r="J91" s="19">
        <v>21</v>
      </c>
      <c r="L91" s="18">
        <v>143</v>
      </c>
      <c r="O91" s="20">
        <f t="shared" si="10"/>
        <v>150</v>
      </c>
      <c r="P91" s="1">
        <f t="shared" si="11"/>
        <v>960</v>
      </c>
      <c r="Q91">
        <f t="shared" si="12"/>
        <v>780</v>
      </c>
      <c r="R91">
        <f t="shared" si="13"/>
        <v>514</v>
      </c>
      <c r="S91">
        <f t="shared" si="14"/>
        <v>355.608</v>
      </c>
      <c r="T91">
        <f t="shared" si="15"/>
        <v>297</v>
      </c>
      <c r="U91" s="21">
        <f t="shared" si="16"/>
        <v>0.65897435897435896</v>
      </c>
      <c r="V91" s="21">
        <f t="shared" si="17"/>
        <v>0.83518930957683746</v>
      </c>
      <c r="W91" s="21">
        <f t="shared" si="18"/>
        <v>0.69184435797665367</v>
      </c>
      <c r="X91">
        <f t="shared" si="19"/>
        <v>0.3807692307692308</v>
      </c>
    </row>
    <row r="92" spans="1:24" x14ac:dyDescent="0.3">
      <c r="A92" s="2">
        <v>91</v>
      </c>
      <c r="B92" s="2" t="s">
        <v>5</v>
      </c>
      <c r="C92" s="2">
        <f>Usinage!C92-Usinage!D92-Usinage!E92</f>
        <v>1522</v>
      </c>
      <c r="D92" s="15">
        <v>60</v>
      </c>
      <c r="E92" s="15">
        <v>162</v>
      </c>
      <c r="G92" s="18">
        <v>45</v>
      </c>
      <c r="H92" s="19">
        <v>6</v>
      </c>
      <c r="I92" s="18">
        <v>38</v>
      </c>
      <c r="J92" s="19">
        <v>20</v>
      </c>
      <c r="L92" s="18">
        <v>131</v>
      </c>
      <c r="N92" s="19">
        <v>6</v>
      </c>
      <c r="O92" s="20">
        <f t="shared" si="10"/>
        <v>150</v>
      </c>
      <c r="P92" s="1">
        <f t="shared" si="11"/>
        <v>960</v>
      </c>
      <c r="Q92">
        <f t="shared" si="12"/>
        <v>778</v>
      </c>
      <c r="R92">
        <f t="shared" si="13"/>
        <v>564</v>
      </c>
      <c r="S92">
        <f t="shared" si="14"/>
        <v>401.80799999999999</v>
      </c>
      <c r="T92">
        <f t="shared" si="15"/>
        <v>343.2</v>
      </c>
      <c r="U92" s="21">
        <f t="shared" si="16"/>
        <v>0.72493573264781486</v>
      </c>
      <c r="V92" s="21">
        <f t="shared" si="17"/>
        <v>0.8541392904073587</v>
      </c>
      <c r="W92" s="21">
        <f t="shared" si="18"/>
        <v>0.71242553191489355</v>
      </c>
      <c r="X92">
        <f t="shared" si="19"/>
        <v>0.44113110539845746</v>
      </c>
    </row>
    <row r="93" spans="1:24" x14ac:dyDescent="0.3">
      <c r="A93" s="2">
        <v>92</v>
      </c>
      <c r="B93" s="2" t="s">
        <v>3</v>
      </c>
      <c r="C93" s="2">
        <f>Usinage!C93-Usinage!D93-Usinage!E93</f>
        <v>1336</v>
      </c>
      <c r="D93" s="15">
        <v>60</v>
      </c>
      <c r="E93" s="15">
        <v>144</v>
      </c>
      <c r="F93" s="18">
        <v>40</v>
      </c>
      <c r="G93" s="18">
        <v>48</v>
      </c>
      <c r="H93" s="19">
        <v>9</v>
      </c>
      <c r="I93" s="18">
        <v>39</v>
      </c>
      <c r="J93" s="19">
        <v>21</v>
      </c>
      <c r="L93" s="18">
        <v>97</v>
      </c>
      <c r="O93" s="20">
        <f t="shared" si="10"/>
        <v>150</v>
      </c>
      <c r="P93" s="1">
        <f t="shared" si="11"/>
        <v>960</v>
      </c>
      <c r="Q93">
        <f t="shared" si="12"/>
        <v>780</v>
      </c>
      <c r="R93">
        <f t="shared" si="13"/>
        <v>556</v>
      </c>
      <c r="S93">
        <f t="shared" si="14"/>
        <v>352.70400000000001</v>
      </c>
      <c r="T93">
        <f t="shared" si="15"/>
        <v>298.84800000000001</v>
      </c>
      <c r="U93" s="21">
        <f t="shared" si="16"/>
        <v>0.71282051282051284</v>
      </c>
      <c r="V93" s="21">
        <f t="shared" si="17"/>
        <v>0.84730538922155685</v>
      </c>
      <c r="W93" s="21">
        <f t="shared" si="18"/>
        <v>0.63435971223021581</v>
      </c>
      <c r="X93">
        <f t="shared" si="19"/>
        <v>0.38313846153846154</v>
      </c>
    </row>
    <row r="94" spans="1:24" x14ac:dyDescent="0.3">
      <c r="A94" s="2">
        <v>93</v>
      </c>
      <c r="B94" s="2" t="s">
        <v>3</v>
      </c>
      <c r="C94" s="2">
        <f>Usinage!C94-Usinage!D94-Usinage!E94</f>
        <v>1515</v>
      </c>
      <c r="D94" s="15">
        <v>55</v>
      </c>
      <c r="E94" s="15">
        <v>173</v>
      </c>
      <c r="G94" s="18">
        <v>36</v>
      </c>
      <c r="H94" s="19">
        <v>10</v>
      </c>
      <c r="I94" s="18">
        <v>45</v>
      </c>
      <c r="J94" s="19">
        <v>20</v>
      </c>
      <c r="L94" s="18">
        <v>133</v>
      </c>
      <c r="N94" s="19">
        <v>7</v>
      </c>
      <c r="O94" s="20">
        <f t="shared" si="10"/>
        <v>150</v>
      </c>
      <c r="P94" s="1">
        <f t="shared" si="11"/>
        <v>960</v>
      </c>
      <c r="Q94">
        <f t="shared" si="12"/>
        <v>773</v>
      </c>
      <c r="R94">
        <f t="shared" si="13"/>
        <v>559</v>
      </c>
      <c r="S94">
        <f t="shared" si="14"/>
        <v>399.96000000000004</v>
      </c>
      <c r="T94">
        <f t="shared" si="15"/>
        <v>339.76800000000003</v>
      </c>
      <c r="U94" s="21">
        <f t="shared" si="16"/>
        <v>0.72315653298835703</v>
      </c>
      <c r="V94" s="21">
        <f t="shared" si="17"/>
        <v>0.84950495049504948</v>
      </c>
      <c r="W94" s="21">
        <f t="shared" si="18"/>
        <v>0.71549194991055465</v>
      </c>
      <c r="X94">
        <f t="shared" si="19"/>
        <v>0.43954463130659766</v>
      </c>
    </row>
    <row r="95" spans="1:24" x14ac:dyDescent="0.3">
      <c r="A95" s="2">
        <v>94</v>
      </c>
      <c r="B95" s="2" t="s">
        <v>5</v>
      </c>
      <c r="C95" s="2">
        <f>Usinage!C95-Usinage!D95-Usinage!E95</f>
        <v>1493</v>
      </c>
      <c r="D95" s="15">
        <v>53</v>
      </c>
      <c r="E95" s="15">
        <v>167</v>
      </c>
      <c r="F95" s="18">
        <v>46</v>
      </c>
      <c r="G95" s="18">
        <v>49</v>
      </c>
      <c r="H95" s="19">
        <v>8</v>
      </c>
      <c r="I95" s="18">
        <v>46</v>
      </c>
      <c r="J95" s="19">
        <v>20</v>
      </c>
      <c r="L95" s="18">
        <v>143</v>
      </c>
      <c r="O95" s="20">
        <f t="shared" si="10"/>
        <v>150</v>
      </c>
      <c r="P95" s="1">
        <f t="shared" si="11"/>
        <v>960</v>
      </c>
      <c r="Q95">
        <f t="shared" si="12"/>
        <v>782</v>
      </c>
      <c r="R95">
        <f t="shared" si="13"/>
        <v>498</v>
      </c>
      <c r="S95">
        <f t="shared" si="14"/>
        <v>394.15200000000004</v>
      </c>
      <c r="T95">
        <f t="shared" si="15"/>
        <v>336.072</v>
      </c>
      <c r="U95" s="21">
        <f t="shared" si="16"/>
        <v>0.63682864450127874</v>
      </c>
      <c r="V95" s="21">
        <f t="shared" si="17"/>
        <v>0.85264567983924988</v>
      </c>
      <c r="W95" s="21">
        <f t="shared" si="18"/>
        <v>0.79146987951807235</v>
      </c>
      <c r="X95">
        <f t="shared" si="19"/>
        <v>0.42975959079283893</v>
      </c>
    </row>
    <row r="96" spans="1:24" x14ac:dyDescent="0.3">
      <c r="A96" s="2">
        <v>95</v>
      </c>
      <c r="B96" s="2" t="s">
        <v>5</v>
      </c>
      <c r="C96" s="2">
        <f>Usinage!C96-Usinage!D96-Usinage!E96</f>
        <v>1362</v>
      </c>
      <c r="D96" s="15">
        <v>54</v>
      </c>
      <c r="E96" s="15">
        <v>136</v>
      </c>
      <c r="F96" s="18">
        <v>35</v>
      </c>
      <c r="G96" s="18">
        <v>47</v>
      </c>
      <c r="H96" s="19">
        <v>8</v>
      </c>
      <c r="I96" s="18">
        <v>37</v>
      </c>
      <c r="J96" s="19">
        <v>21</v>
      </c>
      <c r="L96" s="18">
        <v>96</v>
      </c>
      <c r="O96" s="20">
        <f t="shared" si="10"/>
        <v>150</v>
      </c>
      <c r="P96" s="1">
        <f t="shared" si="11"/>
        <v>960</v>
      </c>
      <c r="Q96">
        <f t="shared" si="12"/>
        <v>781</v>
      </c>
      <c r="R96">
        <f t="shared" si="13"/>
        <v>566</v>
      </c>
      <c r="S96">
        <f t="shared" si="14"/>
        <v>359.56800000000004</v>
      </c>
      <c r="T96">
        <f t="shared" si="15"/>
        <v>309.40800000000002</v>
      </c>
      <c r="U96" s="21">
        <f t="shared" si="16"/>
        <v>0.72471190781049932</v>
      </c>
      <c r="V96" s="21">
        <f t="shared" si="17"/>
        <v>0.86049926578560942</v>
      </c>
      <c r="W96" s="21">
        <f t="shared" si="18"/>
        <v>0.63527915194346296</v>
      </c>
      <c r="X96">
        <f t="shared" si="19"/>
        <v>0.39616901408450711</v>
      </c>
    </row>
    <row r="97" spans="1:24" x14ac:dyDescent="0.3">
      <c r="A97" s="2">
        <v>96</v>
      </c>
      <c r="B97" s="2" t="s">
        <v>2</v>
      </c>
      <c r="C97" s="2">
        <f>Usinage!C97-Usinage!D97-Usinage!E97</f>
        <v>1389</v>
      </c>
      <c r="D97" s="15">
        <v>58</v>
      </c>
      <c r="E97" s="15">
        <v>164</v>
      </c>
      <c r="G97" s="18">
        <v>22</v>
      </c>
      <c r="H97" s="19">
        <v>7</v>
      </c>
      <c r="I97" s="18">
        <v>46</v>
      </c>
      <c r="J97" s="19">
        <v>22</v>
      </c>
      <c r="L97" s="18">
        <v>92</v>
      </c>
      <c r="N97" s="19">
        <v>9</v>
      </c>
      <c r="O97" s="20">
        <f t="shared" si="10"/>
        <v>150</v>
      </c>
      <c r="P97" s="1">
        <f t="shared" si="11"/>
        <v>960</v>
      </c>
      <c r="Q97">
        <f t="shared" si="12"/>
        <v>772</v>
      </c>
      <c r="R97">
        <f t="shared" si="13"/>
        <v>612</v>
      </c>
      <c r="S97">
        <f t="shared" si="14"/>
        <v>366.69600000000003</v>
      </c>
      <c r="T97">
        <f t="shared" si="15"/>
        <v>308.08800000000002</v>
      </c>
      <c r="U97" s="21">
        <f t="shared" si="16"/>
        <v>0.79274611398963735</v>
      </c>
      <c r="V97" s="21">
        <f t="shared" si="17"/>
        <v>0.84017278617710578</v>
      </c>
      <c r="W97" s="21">
        <f t="shared" si="18"/>
        <v>0.59917647058823531</v>
      </c>
      <c r="X97">
        <f t="shared" si="19"/>
        <v>0.39907772020725391</v>
      </c>
    </row>
    <row r="98" spans="1:24" x14ac:dyDescent="0.3">
      <c r="A98" s="2">
        <v>97</v>
      </c>
      <c r="B98" s="2" t="s">
        <v>3</v>
      </c>
      <c r="C98" s="2">
        <f>Usinage!C98-Usinage!D98-Usinage!E98</f>
        <v>1357</v>
      </c>
      <c r="D98" s="15">
        <v>45</v>
      </c>
      <c r="E98" s="15">
        <v>177</v>
      </c>
      <c r="G98" s="18">
        <v>46</v>
      </c>
      <c r="H98" s="19">
        <v>9</v>
      </c>
      <c r="I98" s="18">
        <v>42</v>
      </c>
      <c r="J98" s="19">
        <v>22</v>
      </c>
      <c r="L98" s="18">
        <v>148</v>
      </c>
      <c r="O98" s="20">
        <f t="shared" si="10"/>
        <v>150</v>
      </c>
      <c r="P98" s="1">
        <f t="shared" si="11"/>
        <v>960</v>
      </c>
      <c r="Q98">
        <f t="shared" si="12"/>
        <v>779</v>
      </c>
      <c r="R98">
        <f t="shared" si="13"/>
        <v>543</v>
      </c>
      <c r="S98">
        <f t="shared" si="14"/>
        <v>358.24799999999999</v>
      </c>
      <c r="T98">
        <f t="shared" si="15"/>
        <v>299.64</v>
      </c>
      <c r="U98" s="21">
        <f t="shared" si="16"/>
        <v>0.69704749679075739</v>
      </c>
      <c r="V98" s="21">
        <f t="shared" si="17"/>
        <v>0.83640383198231394</v>
      </c>
      <c r="W98" s="21">
        <f t="shared" si="18"/>
        <v>0.65975690607734805</v>
      </c>
      <c r="X98">
        <f t="shared" si="19"/>
        <v>0.38464698331193836</v>
      </c>
    </row>
    <row r="99" spans="1:24" x14ac:dyDescent="0.3">
      <c r="A99" s="2">
        <v>98</v>
      </c>
      <c r="B99" s="2" t="s">
        <v>3</v>
      </c>
      <c r="C99" s="2">
        <f>Usinage!C99-Usinage!D99-Usinage!E99</f>
        <v>1424</v>
      </c>
      <c r="D99" s="15">
        <v>50</v>
      </c>
      <c r="E99" s="15">
        <v>149</v>
      </c>
      <c r="G99" s="18">
        <v>24</v>
      </c>
      <c r="H99" s="19">
        <v>5</v>
      </c>
      <c r="I99" s="18">
        <v>39</v>
      </c>
      <c r="J99" s="19">
        <v>25</v>
      </c>
      <c r="L99" s="18">
        <v>134</v>
      </c>
      <c r="O99" s="20">
        <f t="shared" si="10"/>
        <v>150</v>
      </c>
      <c r="P99" s="1">
        <f t="shared" si="11"/>
        <v>960</v>
      </c>
      <c r="Q99">
        <f t="shared" si="12"/>
        <v>780</v>
      </c>
      <c r="R99">
        <f t="shared" si="13"/>
        <v>583</v>
      </c>
      <c r="S99">
        <f t="shared" si="14"/>
        <v>375.93600000000004</v>
      </c>
      <c r="T99">
        <f t="shared" si="15"/>
        <v>323.40000000000003</v>
      </c>
      <c r="U99" s="21">
        <f t="shared" si="16"/>
        <v>0.74743589743589745</v>
      </c>
      <c r="V99" s="21">
        <f t="shared" si="17"/>
        <v>0.860252808988764</v>
      </c>
      <c r="W99" s="21">
        <f t="shared" si="18"/>
        <v>0.64483018867924535</v>
      </c>
      <c r="X99">
        <f t="shared" si="19"/>
        <v>0.41461538461538461</v>
      </c>
    </row>
    <row r="100" spans="1:24" x14ac:dyDescent="0.3">
      <c r="A100" s="2">
        <v>99</v>
      </c>
      <c r="B100" s="2" t="s">
        <v>5</v>
      </c>
      <c r="C100" s="2">
        <f>Usinage!C100-Usinage!D100-Usinage!E100</f>
        <v>1339</v>
      </c>
      <c r="D100" s="15">
        <v>44</v>
      </c>
      <c r="E100" s="15">
        <v>181</v>
      </c>
      <c r="G100" s="18">
        <v>45</v>
      </c>
      <c r="H100" s="19">
        <v>9</v>
      </c>
      <c r="I100" s="18">
        <v>32</v>
      </c>
      <c r="J100" s="19">
        <v>24</v>
      </c>
      <c r="L100" s="18">
        <v>113</v>
      </c>
      <c r="N100" s="19">
        <v>6</v>
      </c>
      <c r="O100" s="20">
        <f t="shared" si="10"/>
        <v>150</v>
      </c>
      <c r="P100" s="1">
        <f t="shared" si="11"/>
        <v>960</v>
      </c>
      <c r="Q100">
        <f t="shared" si="12"/>
        <v>771</v>
      </c>
      <c r="R100">
        <f t="shared" si="13"/>
        <v>581</v>
      </c>
      <c r="S100">
        <f t="shared" si="14"/>
        <v>353.49600000000004</v>
      </c>
      <c r="T100">
        <f t="shared" si="15"/>
        <v>294.096</v>
      </c>
      <c r="U100" s="21">
        <f t="shared" si="16"/>
        <v>0.75356679636835278</v>
      </c>
      <c r="V100" s="21">
        <f t="shared" si="17"/>
        <v>0.83196415235250187</v>
      </c>
      <c r="W100" s="21">
        <f t="shared" si="18"/>
        <v>0.60842685025817567</v>
      </c>
      <c r="X100">
        <f t="shared" si="19"/>
        <v>0.38144747081712072</v>
      </c>
    </row>
    <row r="101" spans="1:24" x14ac:dyDescent="0.3">
      <c r="A101" s="2">
        <v>100</v>
      </c>
      <c r="B101" s="2" t="s">
        <v>2</v>
      </c>
      <c r="C101" s="2">
        <f>Usinage!C101-Usinage!D101-Usinage!E101</f>
        <v>1312</v>
      </c>
      <c r="D101" s="15">
        <v>54</v>
      </c>
      <c r="E101" s="15">
        <v>148</v>
      </c>
      <c r="G101" s="18">
        <v>42</v>
      </c>
      <c r="H101" s="19">
        <v>9</v>
      </c>
      <c r="I101" s="18">
        <v>35</v>
      </c>
      <c r="J101" s="19">
        <v>23</v>
      </c>
      <c r="L101" s="18">
        <v>145</v>
      </c>
      <c r="O101" s="20">
        <f t="shared" si="10"/>
        <v>150</v>
      </c>
      <c r="P101" s="1">
        <f t="shared" si="11"/>
        <v>960</v>
      </c>
      <c r="Q101">
        <f t="shared" si="12"/>
        <v>778</v>
      </c>
      <c r="R101">
        <f t="shared" si="13"/>
        <v>556</v>
      </c>
      <c r="S101">
        <f t="shared" si="14"/>
        <v>346.36799999999999</v>
      </c>
      <c r="T101">
        <f t="shared" si="15"/>
        <v>293.04000000000002</v>
      </c>
      <c r="U101" s="21">
        <f t="shared" si="16"/>
        <v>0.71465295629820047</v>
      </c>
      <c r="V101" s="21">
        <f t="shared" si="17"/>
        <v>0.84603658536585369</v>
      </c>
      <c r="W101" s="21">
        <f t="shared" si="18"/>
        <v>0.62296402877697843</v>
      </c>
      <c r="X101">
        <f t="shared" si="19"/>
        <v>0.37665809768637531</v>
      </c>
    </row>
    <row r="102" spans="1:24" x14ac:dyDescent="0.3">
      <c r="A102" s="2">
        <v>101</v>
      </c>
      <c r="B102" s="2" t="s">
        <v>4</v>
      </c>
      <c r="C102" s="2">
        <f>Usinage!C102-Usinage!D102-Usinage!E102</f>
        <v>1392</v>
      </c>
      <c r="D102" s="15">
        <v>42</v>
      </c>
      <c r="E102" s="15">
        <v>138</v>
      </c>
      <c r="F102" s="18">
        <v>34</v>
      </c>
      <c r="G102" s="18">
        <v>41</v>
      </c>
      <c r="H102" s="19">
        <v>5</v>
      </c>
      <c r="I102" s="18">
        <v>32</v>
      </c>
      <c r="J102" s="19">
        <v>20</v>
      </c>
      <c r="L102" s="18">
        <v>142</v>
      </c>
      <c r="O102" s="20">
        <f t="shared" si="10"/>
        <v>150</v>
      </c>
      <c r="P102" s="1">
        <f t="shared" si="11"/>
        <v>960</v>
      </c>
      <c r="Q102">
        <f t="shared" si="12"/>
        <v>785</v>
      </c>
      <c r="R102">
        <f t="shared" si="13"/>
        <v>536</v>
      </c>
      <c r="S102">
        <f t="shared" si="14"/>
        <v>367.488</v>
      </c>
      <c r="T102">
        <f t="shared" si="15"/>
        <v>319.96800000000002</v>
      </c>
      <c r="U102" s="21">
        <f t="shared" si="16"/>
        <v>0.6828025477707006</v>
      </c>
      <c r="V102" s="21">
        <f t="shared" si="17"/>
        <v>0.87068965517241381</v>
      </c>
      <c r="W102" s="21">
        <f t="shared" si="18"/>
        <v>0.68561194029850747</v>
      </c>
      <c r="X102">
        <f t="shared" si="19"/>
        <v>0.4076025477707006</v>
      </c>
    </row>
    <row r="103" spans="1:24" x14ac:dyDescent="0.3">
      <c r="A103" s="2">
        <v>102</v>
      </c>
      <c r="B103" s="2" t="s">
        <v>3</v>
      </c>
      <c r="C103" s="2">
        <f>Usinage!C103-Usinage!D103-Usinage!E103</f>
        <v>1489</v>
      </c>
      <c r="D103" s="15">
        <v>60</v>
      </c>
      <c r="E103" s="15">
        <v>185</v>
      </c>
      <c r="G103" s="18">
        <v>45</v>
      </c>
      <c r="H103" s="19">
        <v>10</v>
      </c>
      <c r="I103" s="18">
        <v>49</v>
      </c>
      <c r="J103" s="19">
        <v>23</v>
      </c>
      <c r="L103" s="18">
        <v>122</v>
      </c>
      <c r="N103" s="19">
        <v>9</v>
      </c>
      <c r="O103" s="20">
        <f t="shared" si="10"/>
        <v>150</v>
      </c>
      <c r="P103" s="1">
        <f t="shared" si="11"/>
        <v>960</v>
      </c>
      <c r="Q103">
        <f t="shared" si="12"/>
        <v>768</v>
      </c>
      <c r="R103">
        <f t="shared" si="13"/>
        <v>552</v>
      </c>
      <c r="S103">
        <f t="shared" si="14"/>
        <v>393.096</v>
      </c>
      <c r="T103">
        <f t="shared" si="15"/>
        <v>328.416</v>
      </c>
      <c r="U103" s="21">
        <f t="shared" si="16"/>
        <v>0.71875</v>
      </c>
      <c r="V103" s="21">
        <f t="shared" si="17"/>
        <v>0.83546004029550036</v>
      </c>
      <c r="W103" s="21">
        <f t="shared" si="18"/>
        <v>0.71213043478260873</v>
      </c>
      <c r="X103">
        <f t="shared" si="19"/>
        <v>0.42762500000000003</v>
      </c>
    </row>
    <row r="104" spans="1:24" x14ac:dyDescent="0.3">
      <c r="A104" s="2">
        <v>103</v>
      </c>
      <c r="B104" s="2" t="s">
        <v>3</v>
      </c>
      <c r="C104" s="2">
        <f>Usinage!C104-Usinage!D104-Usinage!E104</f>
        <v>1295</v>
      </c>
      <c r="D104" s="15">
        <v>46</v>
      </c>
      <c r="E104" s="15">
        <v>152</v>
      </c>
      <c r="G104" s="18">
        <v>29</v>
      </c>
      <c r="H104" s="19">
        <v>6</v>
      </c>
      <c r="I104" s="18">
        <v>36</v>
      </c>
      <c r="J104" s="19">
        <v>23</v>
      </c>
      <c r="L104" s="18">
        <v>101</v>
      </c>
      <c r="O104" s="20">
        <f t="shared" si="10"/>
        <v>150</v>
      </c>
      <c r="P104" s="1">
        <f t="shared" si="11"/>
        <v>960</v>
      </c>
      <c r="Q104">
        <f t="shared" si="12"/>
        <v>781</v>
      </c>
      <c r="R104">
        <f t="shared" si="13"/>
        <v>615</v>
      </c>
      <c r="S104">
        <f t="shared" si="14"/>
        <v>341.88</v>
      </c>
      <c r="T104">
        <f t="shared" si="15"/>
        <v>289.608</v>
      </c>
      <c r="U104" s="21">
        <f t="shared" si="16"/>
        <v>0.78745198463508326</v>
      </c>
      <c r="V104" s="21">
        <f t="shared" si="17"/>
        <v>0.84710424710424714</v>
      </c>
      <c r="W104" s="21">
        <f t="shared" si="18"/>
        <v>0.55590243902439018</v>
      </c>
      <c r="X104">
        <f t="shared" si="19"/>
        <v>0.37081690140845069</v>
      </c>
    </row>
    <row r="105" spans="1:24" x14ac:dyDescent="0.3">
      <c r="A105" s="2">
        <v>104</v>
      </c>
      <c r="B105" s="2" t="s">
        <v>3</v>
      </c>
      <c r="C105" s="2">
        <f>Usinage!C105-Usinage!D105-Usinage!E105</f>
        <v>1484</v>
      </c>
      <c r="D105" s="15">
        <v>40</v>
      </c>
      <c r="E105" s="15">
        <v>170</v>
      </c>
      <c r="G105" s="18">
        <v>27</v>
      </c>
      <c r="H105" s="19">
        <v>6</v>
      </c>
      <c r="I105" s="18">
        <v>47</v>
      </c>
      <c r="J105" s="19">
        <v>22</v>
      </c>
      <c r="L105" s="18">
        <v>98</v>
      </c>
      <c r="O105" s="20">
        <f t="shared" si="10"/>
        <v>150</v>
      </c>
      <c r="P105" s="1">
        <f t="shared" si="11"/>
        <v>960</v>
      </c>
      <c r="Q105">
        <f t="shared" si="12"/>
        <v>782</v>
      </c>
      <c r="R105">
        <f t="shared" si="13"/>
        <v>610</v>
      </c>
      <c r="S105">
        <f t="shared" si="14"/>
        <v>391.77600000000001</v>
      </c>
      <c r="T105">
        <f t="shared" si="15"/>
        <v>336.33600000000001</v>
      </c>
      <c r="U105" s="21">
        <f t="shared" si="16"/>
        <v>0.78005115089514065</v>
      </c>
      <c r="V105" s="21">
        <f t="shared" si="17"/>
        <v>0.85849056603773588</v>
      </c>
      <c r="W105" s="21">
        <f t="shared" si="18"/>
        <v>0.64225573770491806</v>
      </c>
      <c r="X105">
        <f t="shared" si="19"/>
        <v>0.43009718670076724</v>
      </c>
    </row>
    <row r="106" spans="1:24" x14ac:dyDescent="0.3">
      <c r="A106" s="2">
        <v>105</v>
      </c>
      <c r="B106" s="2" t="s">
        <v>5</v>
      </c>
      <c r="C106" s="2">
        <f>Usinage!C106-Usinage!D106-Usinage!E106</f>
        <v>1433</v>
      </c>
      <c r="D106" s="15">
        <v>48</v>
      </c>
      <c r="E106" s="15">
        <v>151</v>
      </c>
      <c r="G106" s="18">
        <v>33</v>
      </c>
      <c r="H106" s="19">
        <v>9</v>
      </c>
      <c r="I106" s="18">
        <v>55</v>
      </c>
      <c r="J106" s="19">
        <v>21</v>
      </c>
      <c r="L106" s="18">
        <v>129</v>
      </c>
      <c r="N106" s="19">
        <v>7</v>
      </c>
      <c r="O106" s="20">
        <f t="shared" si="10"/>
        <v>150</v>
      </c>
      <c r="P106" s="1">
        <f t="shared" si="11"/>
        <v>960</v>
      </c>
      <c r="Q106">
        <f t="shared" si="12"/>
        <v>773</v>
      </c>
      <c r="R106">
        <f t="shared" si="13"/>
        <v>556</v>
      </c>
      <c r="S106">
        <f t="shared" si="14"/>
        <v>378.31200000000001</v>
      </c>
      <c r="T106">
        <f t="shared" si="15"/>
        <v>325.77600000000001</v>
      </c>
      <c r="U106" s="21">
        <f t="shared" si="16"/>
        <v>0.71927554980595088</v>
      </c>
      <c r="V106" s="21">
        <f t="shared" si="17"/>
        <v>0.8611304954640614</v>
      </c>
      <c r="W106" s="21">
        <f t="shared" si="18"/>
        <v>0.68041726618705034</v>
      </c>
      <c r="X106">
        <f t="shared" si="19"/>
        <v>0.42144372574385508</v>
      </c>
    </row>
    <row r="107" spans="1:24" x14ac:dyDescent="0.3">
      <c r="A107" s="2">
        <v>106</v>
      </c>
      <c r="B107" s="2" t="s">
        <v>4</v>
      </c>
      <c r="C107" s="2">
        <f>Usinage!C107-Usinage!D107-Usinage!E107</f>
        <v>1487</v>
      </c>
      <c r="D107" s="15">
        <v>53</v>
      </c>
      <c r="E107" s="15">
        <v>184</v>
      </c>
      <c r="F107" s="18">
        <v>46</v>
      </c>
      <c r="G107" s="18">
        <v>20</v>
      </c>
      <c r="H107" s="19">
        <v>10</v>
      </c>
      <c r="I107" s="18">
        <v>49</v>
      </c>
      <c r="J107" s="19">
        <v>22</v>
      </c>
      <c r="L107" s="18">
        <v>114</v>
      </c>
      <c r="O107" s="20">
        <f t="shared" si="10"/>
        <v>150</v>
      </c>
      <c r="P107" s="1">
        <f t="shared" si="11"/>
        <v>960</v>
      </c>
      <c r="Q107">
        <f t="shared" si="12"/>
        <v>778</v>
      </c>
      <c r="R107">
        <f t="shared" si="13"/>
        <v>549</v>
      </c>
      <c r="S107">
        <f t="shared" si="14"/>
        <v>392.56800000000004</v>
      </c>
      <c r="T107">
        <f t="shared" si="15"/>
        <v>330</v>
      </c>
      <c r="U107" s="21">
        <f t="shared" si="16"/>
        <v>0.70565552699228795</v>
      </c>
      <c r="V107" s="21">
        <f t="shared" si="17"/>
        <v>0.84061869535978484</v>
      </c>
      <c r="W107" s="21">
        <f t="shared" si="18"/>
        <v>0.71506010928961761</v>
      </c>
      <c r="X107">
        <f t="shared" si="19"/>
        <v>0.42416452442159397</v>
      </c>
    </row>
    <row r="108" spans="1:24" x14ac:dyDescent="0.3">
      <c r="A108" s="2">
        <v>107</v>
      </c>
      <c r="B108" s="2" t="s">
        <v>3</v>
      </c>
      <c r="C108" s="2">
        <f>Usinage!C108-Usinage!D108-Usinage!E108</f>
        <v>1370</v>
      </c>
      <c r="D108" s="15">
        <v>52</v>
      </c>
      <c r="E108" s="15">
        <v>149</v>
      </c>
      <c r="F108" s="18">
        <v>47</v>
      </c>
      <c r="G108" s="18">
        <v>47</v>
      </c>
      <c r="H108" s="19">
        <v>6</v>
      </c>
      <c r="I108" s="18">
        <v>33</v>
      </c>
      <c r="J108" s="19">
        <v>21</v>
      </c>
      <c r="L108" s="18">
        <v>97</v>
      </c>
      <c r="O108" s="20">
        <f t="shared" si="10"/>
        <v>150</v>
      </c>
      <c r="P108" s="1">
        <f t="shared" si="11"/>
        <v>960</v>
      </c>
      <c r="Q108">
        <f t="shared" si="12"/>
        <v>783</v>
      </c>
      <c r="R108">
        <f t="shared" si="13"/>
        <v>559</v>
      </c>
      <c r="S108">
        <f t="shared" si="14"/>
        <v>361.68</v>
      </c>
      <c r="T108">
        <f t="shared" si="15"/>
        <v>308.61600000000004</v>
      </c>
      <c r="U108" s="21">
        <f t="shared" si="16"/>
        <v>0.71392081736909319</v>
      </c>
      <c r="V108" s="21">
        <f t="shared" si="17"/>
        <v>0.85328467153284671</v>
      </c>
      <c r="W108" s="21">
        <f t="shared" si="18"/>
        <v>0.64701252236135953</v>
      </c>
      <c r="X108">
        <f t="shared" si="19"/>
        <v>0.3941455938697318</v>
      </c>
    </row>
    <row r="109" spans="1:24" x14ac:dyDescent="0.3">
      <c r="A109" s="2">
        <v>108</v>
      </c>
      <c r="B109" s="2" t="s">
        <v>2</v>
      </c>
      <c r="C109" s="2">
        <f>Usinage!C109-Usinage!D109-Usinage!E109</f>
        <v>1336</v>
      </c>
      <c r="D109" s="15">
        <v>45</v>
      </c>
      <c r="E109" s="15">
        <v>186</v>
      </c>
      <c r="G109" s="18">
        <v>23</v>
      </c>
      <c r="H109" s="19">
        <v>7</v>
      </c>
      <c r="I109" s="18">
        <v>33</v>
      </c>
      <c r="J109" s="19">
        <v>25</v>
      </c>
      <c r="L109" s="18">
        <v>100</v>
      </c>
      <c r="N109" s="19">
        <v>8</v>
      </c>
      <c r="O109" s="20">
        <f t="shared" si="10"/>
        <v>150</v>
      </c>
      <c r="P109" s="1">
        <f t="shared" si="11"/>
        <v>960</v>
      </c>
      <c r="Q109">
        <f t="shared" si="12"/>
        <v>770</v>
      </c>
      <c r="R109">
        <f t="shared" si="13"/>
        <v>614</v>
      </c>
      <c r="S109">
        <f t="shared" si="14"/>
        <v>352.70400000000001</v>
      </c>
      <c r="T109">
        <f t="shared" si="15"/>
        <v>291.72000000000003</v>
      </c>
      <c r="U109" s="21">
        <f t="shared" si="16"/>
        <v>0.79740259740259745</v>
      </c>
      <c r="V109" s="21">
        <f t="shared" si="17"/>
        <v>0.82709580838323349</v>
      </c>
      <c r="W109" s="21">
        <f t="shared" si="18"/>
        <v>0.57443648208469056</v>
      </c>
      <c r="X109">
        <f t="shared" si="19"/>
        <v>0.37885714285714284</v>
      </c>
    </row>
    <row r="110" spans="1:24" x14ac:dyDescent="0.3">
      <c r="A110" s="2">
        <v>109</v>
      </c>
      <c r="B110" s="2" t="s">
        <v>5</v>
      </c>
      <c r="C110" s="2">
        <f>Usinage!C110-Usinage!D110-Usinage!E110</f>
        <v>1486</v>
      </c>
      <c r="D110" s="15">
        <v>50</v>
      </c>
      <c r="E110" s="15">
        <v>173</v>
      </c>
      <c r="G110" s="18">
        <v>41</v>
      </c>
      <c r="H110" s="19">
        <v>5</v>
      </c>
      <c r="I110" s="18">
        <v>31</v>
      </c>
      <c r="J110" s="19">
        <v>21</v>
      </c>
      <c r="L110" s="18">
        <v>114</v>
      </c>
      <c r="O110" s="20">
        <f t="shared" si="10"/>
        <v>150</v>
      </c>
      <c r="P110" s="1">
        <f t="shared" si="11"/>
        <v>960</v>
      </c>
      <c r="Q110">
        <f t="shared" si="12"/>
        <v>784</v>
      </c>
      <c r="R110">
        <f t="shared" si="13"/>
        <v>598</v>
      </c>
      <c r="S110">
        <f t="shared" si="14"/>
        <v>392.30400000000003</v>
      </c>
      <c r="T110">
        <f t="shared" si="15"/>
        <v>333.43200000000002</v>
      </c>
      <c r="U110" s="21">
        <f t="shared" si="16"/>
        <v>0.76275510204081631</v>
      </c>
      <c r="V110" s="21">
        <f t="shared" si="17"/>
        <v>0.84993270524899056</v>
      </c>
      <c r="W110" s="21">
        <f t="shared" si="18"/>
        <v>0.65602675585284287</v>
      </c>
      <c r="X110">
        <f t="shared" si="19"/>
        <v>0.42529591836734693</v>
      </c>
    </row>
    <row r="111" spans="1:24" x14ac:dyDescent="0.3">
      <c r="A111" s="2">
        <v>110</v>
      </c>
      <c r="B111" s="2" t="s">
        <v>5</v>
      </c>
      <c r="C111" s="2">
        <f>Usinage!C111-Usinage!D111-Usinage!E111</f>
        <v>1308</v>
      </c>
      <c r="D111" s="15">
        <v>46</v>
      </c>
      <c r="E111" s="15">
        <v>143</v>
      </c>
      <c r="F111" s="18">
        <v>31</v>
      </c>
      <c r="G111" s="18">
        <v>33</v>
      </c>
      <c r="H111" s="19">
        <v>8</v>
      </c>
      <c r="I111" s="18">
        <v>31</v>
      </c>
      <c r="J111" s="19">
        <v>24</v>
      </c>
      <c r="L111" s="18">
        <v>126</v>
      </c>
      <c r="O111" s="20">
        <f t="shared" si="10"/>
        <v>150</v>
      </c>
      <c r="P111" s="1">
        <f t="shared" si="11"/>
        <v>960</v>
      </c>
      <c r="Q111">
        <f t="shared" si="12"/>
        <v>778</v>
      </c>
      <c r="R111">
        <f t="shared" si="13"/>
        <v>557</v>
      </c>
      <c r="S111">
        <f t="shared" si="14"/>
        <v>345.31200000000001</v>
      </c>
      <c r="T111">
        <f t="shared" si="15"/>
        <v>295.416</v>
      </c>
      <c r="U111" s="21">
        <f t="shared" si="16"/>
        <v>0.71593830334190234</v>
      </c>
      <c r="V111" s="21">
        <f t="shared" si="17"/>
        <v>0.85550458715596334</v>
      </c>
      <c r="W111" s="21">
        <f t="shared" si="18"/>
        <v>0.61994973070017956</v>
      </c>
      <c r="X111">
        <f t="shared" si="19"/>
        <v>0.37971208226221087</v>
      </c>
    </row>
    <row r="112" spans="1:24" x14ac:dyDescent="0.3">
      <c r="A112" s="2">
        <v>111</v>
      </c>
      <c r="B112" s="2" t="s">
        <v>3</v>
      </c>
      <c r="C112" s="2">
        <f>Usinage!C112-Usinage!D112-Usinage!E112</f>
        <v>1440</v>
      </c>
      <c r="D112" s="15">
        <v>50</v>
      </c>
      <c r="E112" s="15">
        <v>130</v>
      </c>
      <c r="G112" s="18">
        <v>41</v>
      </c>
      <c r="H112" s="19">
        <v>6</v>
      </c>
      <c r="I112" s="18">
        <v>42</v>
      </c>
      <c r="J112" s="19">
        <v>22</v>
      </c>
      <c r="L112" s="18">
        <v>131</v>
      </c>
      <c r="N112" s="19">
        <v>6</v>
      </c>
      <c r="O112" s="20">
        <f t="shared" si="10"/>
        <v>150</v>
      </c>
      <c r="P112" s="1">
        <f t="shared" si="11"/>
        <v>960</v>
      </c>
      <c r="Q112">
        <f t="shared" si="12"/>
        <v>776</v>
      </c>
      <c r="R112">
        <f t="shared" si="13"/>
        <v>562</v>
      </c>
      <c r="S112">
        <f t="shared" si="14"/>
        <v>380.16</v>
      </c>
      <c r="T112">
        <f t="shared" si="15"/>
        <v>332.64000000000004</v>
      </c>
      <c r="U112" s="21">
        <f t="shared" si="16"/>
        <v>0.72422680412371132</v>
      </c>
      <c r="V112" s="21">
        <f t="shared" si="17"/>
        <v>0.875</v>
      </c>
      <c r="W112" s="21">
        <f t="shared" si="18"/>
        <v>0.6764412811387901</v>
      </c>
      <c r="X112">
        <f t="shared" si="19"/>
        <v>0.42865979381443303</v>
      </c>
    </row>
    <row r="113" spans="1:24" x14ac:dyDescent="0.3">
      <c r="A113" s="2">
        <v>112</v>
      </c>
      <c r="B113" s="2" t="s">
        <v>3</v>
      </c>
      <c r="C113" s="2">
        <f>Usinage!C113-Usinage!D113-Usinage!E113</f>
        <v>1329</v>
      </c>
      <c r="D113" s="15">
        <v>50</v>
      </c>
      <c r="E113" s="15">
        <v>148</v>
      </c>
      <c r="F113" s="18">
        <v>41</v>
      </c>
      <c r="G113" s="18">
        <v>24</v>
      </c>
      <c r="H113" s="19">
        <v>10</v>
      </c>
      <c r="I113" s="18">
        <v>50</v>
      </c>
      <c r="J113" s="19">
        <v>23</v>
      </c>
      <c r="L113" s="18">
        <v>124</v>
      </c>
      <c r="O113" s="20">
        <f t="shared" si="10"/>
        <v>150</v>
      </c>
      <c r="P113" s="1">
        <f t="shared" si="11"/>
        <v>960</v>
      </c>
      <c r="Q113">
        <f t="shared" si="12"/>
        <v>777</v>
      </c>
      <c r="R113">
        <f t="shared" si="13"/>
        <v>538</v>
      </c>
      <c r="S113">
        <f t="shared" si="14"/>
        <v>350.85599999999999</v>
      </c>
      <c r="T113">
        <f t="shared" si="15"/>
        <v>298.584</v>
      </c>
      <c r="U113" s="21">
        <f t="shared" si="16"/>
        <v>0.69240669240669239</v>
      </c>
      <c r="V113" s="21">
        <f t="shared" si="17"/>
        <v>0.8510158013544018</v>
      </c>
      <c r="W113" s="21">
        <f t="shared" si="18"/>
        <v>0.65214869888475835</v>
      </c>
      <c r="X113">
        <f t="shared" si="19"/>
        <v>0.38427799227799231</v>
      </c>
    </row>
    <row r="114" spans="1:24" x14ac:dyDescent="0.3">
      <c r="A114" s="2">
        <v>113</v>
      </c>
      <c r="B114" s="2" t="s">
        <v>5</v>
      </c>
      <c r="C114" s="2">
        <f>Usinage!C114-Usinage!D114-Usinage!E114</f>
        <v>1334</v>
      </c>
      <c r="D114" s="15">
        <v>58</v>
      </c>
      <c r="E114" s="15">
        <v>143</v>
      </c>
      <c r="G114" s="18">
        <v>34</v>
      </c>
      <c r="H114" s="19">
        <v>6</v>
      </c>
      <c r="I114" s="18">
        <v>38</v>
      </c>
      <c r="J114" s="19">
        <v>23</v>
      </c>
      <c r="L114" s="18">
        <v>132</v>
      </c>
      <c r="O114" s="20">
        <f t="shared" si="10"/>
        <v>150</v>
      </c>
      <c r="P114" s="1">
        <f t="shared" si="11"/>
        <v>960</v>
      </c>
      <c r="Q114">
        <f t="shared" si="12"/>
        <v>781</v>
      </c>
      <c r="R114">
        <f t="shared" si="13"/>
        <v>577</v>
      </c>
      <c r="S114">
        <f t="shared" si="14"/>
        <v>352.17600000000004</v>
      </c>
      <c r="T114">
        <f t="shared" si="15"/>
        <v>299.11200000000002</v>
      </c>
      <c r="U114" s="21">
        <f t="shared" si="16"/>
        <v>0.73879641485275294</v>
      </c>
      <c r="V114" s="21">
        <f t="shared" si="17"/>
        <v>0.84932533733133431</v>
      </c>
      <c r="W114" s="21">
        <f t="shared" si="18"/>
        <v>0.61035701906412487</v>
      </c>
      <c r="X114">
        <f t="shared" si="19"/>
        <v>0.38298591549295785</v>
      </c>
    </row>
    <row r="115" spans="1:24" x14ac:dyDescent="0.3">
      <c r="A115" s="2">
        <v>114</v>
      </c>
      <c r="B115" s="2" t="s">
        <v>2</v>
      </c>
      <c r="C115" s="2">
        <f>Usinage!C115-Usinage!D115-Usinage!E115</f>
        <v>1315</v>
      </c>
      <c r="D115" s="15">
        <v>49</v>
      </c>
      <c r="E115" s="15">
        <v>151</v>
      </c>
      <c r="F115" s="18">
        <v>38</v>
      </c>
      <c r="G115" s="18">
        <v>40</v>
      </c>
      <c r="H115" s="19">
        <v>8</v>
      </c>
      <c r="I115" s="18">
        <v>55</v>
      </c>
      <c r="J115" s="19">
        <v>22</v>
      </c>
      <c r="L115" s="18">
        <v>135</v>
      </c>
      <c r="N115" s="19">
        <v>8</v>
      </c>
      <c r="O115" s="20">
        <f t="shared" si="10"/>
        <v>150</v>
      </c>
      <c r="P115" s="1">
        <f t="shared" si="11"/>
        <v>960</v>
      </c>
      <c r="Q115">
        <f t="shared" si="12"/>
        <v>772</v>
      </c>
      <c r="R115">
        <f t="shared" si="13"/>
        <v>504</v>
      </c>
      <c r="S115">
        <f t="shared" si="14"/>
        <v>347.16</v>
      </c>
      <c r="T115">
        <f t="shared" si="15"/>
        <v>294.36</v>
      </c>
      <c r="U115" s="21">
        <f t="shared" si="16"/>
        <v>0.65284974093264247</v>
      </c>
      <c r="V115" s="21">
        <f t="shared" si="17"/>
        <v>0.84790874524714832</v>
      </c>
      <c r="W115" s="21">
        <f t="shared" si="18"/>
        <v>0.68880952380952387</v>
      </c>
      <c r="X115">
        <f t="shared" si="19"/>
        <v>0.38129533678756483</v>
      </c>
    </row>
    <row r="116" spans="1:24" x14ac:dyDescent="0.3">
      <c r="A116" s="2">
        <v>115</v>
      </c>
      <c r="B116" s="2" t="s">
        <v>3</v>
      </c>
      <c r="C116" s="2">
        <f>Usinage!C116-Usinage!D116-Usinage!E116</f>
        <v>1346</v>
      </c>
      <c r="D116" s="15">
        <v>52</v>
      </c>
      <c r="E116" s="15">
        <v>168</v>
      </c>
      <c r="G116" s="18">
        <v>48</v>
      </c>
      <c r="H116" s="19">
        <v>9</v>
      </c>
      <c r="I116" s="18">
        <v>51</v>
      </c>
      <c r="J116" s="19">
        <v>20</v>
      </c>
      <c r="L116" s="18">
        <v>119</v>
      </c>
      <c r="O116" s="20">
        <f t="shared" si="10"/>
        <v>150</v>
      </c>
      <c r="P116" s="1">
        <f t="shared" si="11"/>
        <v>960</v>
      </c>
      <c r="Q116">
        <f t="shared" si="12"/>
        <v>781</v>
      </c>
      <c r="R116">
        <f t="shared" si="13"/>
        <v>563</v>
      </c>
      <c r="S116">
        <f t="shared" si="14"/>
        <v>355.34399999999999</v>
      </c>
      <c r="T116">
        <f t="shared" si="15"/>
        <v>297.26400000000001</v>
      </c>
      <c r="U116" s="21">
        <f t="shared" si="16"/>
        <v>0.72087067861715748</v>
      </c>
      <c r="V116" s="21">
        <f t="shared" si="17"/>
        <v>0.83655274888558695</v>
      </c>
      <c r="W116" s="21">
        <f t="shared" si="18"/>
        <v>0.63116163410301951</v>
      </c>
      <c r="X116">
        <f t="shared" si="19"/>
        <v>0.38061971830985913</v>
      </c>
    </row>
    <row r="117" spans="1:24" x14ac:dyDescent="0.3">
      <c r="A117" s="2">
        <v>116</v>
      </c>
      <c r="B117" s="2" t="s">
        <v>4</v>
      </c>
      <c r="C117" s="2">
        <f>Usinage!C117-Usinage!D117-Usinage!E117</f>
        <v>1329</v>
      </c>
      <c r="D117" s="15">
        <v>54</v>
      </c>
      <c r="E117" s="15">
        <v>152</v>
      </c>
      <c r="G117" s="18">
        <v>38</v>
      </c>
      <c r="H117" s="19">
        <v>6</v>
      </c>
      <c r="I117" s="18">
        <v>44</v>
      </c>
      <c r="J117" s="19">
        <v>24</v>
      </c>
      <c r="L117" s="18">
        <v>129</v>
      </c>
      <c r="O117" s="20">
        <f t="shared" si="10"/>
        <v>150</v>
      </c>
      <c r="P117" s="1">
        <f t="shared" si="11"/>
        <v>960</v>
      </c>
      <c r="Q117">
        <f t="shared" si="12"/>
        <v>780</v>
      </c>
      <c r="R117">
        <f t="shared" si="13"/>
        <v>569</v>
      </c>
      <c r="S117">
        <f t="shared" si="14"/>
        <v>350.85599999999999</v>
      </c>
      <c r="T117">
        <f t="shared" si="15"/>
        <v>296.47200000000004</v>
      </c>
      <c r="U117" s="21">
        <f t="shared" si="16"/>
        <v>0.72948717948717945</v>
      </c>
      <c r="V117" s="21">
        <f t="shared" si="17"/>
        <v>0.84499623777276145</v>
      </c>
      <c r="W117" s="21">
        <f t="shared" si="18"/>
        <v>0.61661862917398946</v>
      </c>
      <c r="X117">
        <f t="shared" si="19"/>
        <v>0.38009230769230767</v>
      </c>
    </row>
    <row r="118" spans="1:24" x14ac:dyDescent="0.3">
      <c r="A118" s="2">
        <v>117</v>
      </c>
      <c r="B118" s="2" t="s">
        <v>3</v>
      </c>
      <c r="C118" s="2">
        <f>Usinage!C118-Usinage!D118-Usinage!E118</f>
        <v>1325</v>
      </c>
      <c r="D118" s="15">
        <v>57</v>
      </c>
      <c r="E118" s="15">
        <v>157</v>
      </c>
      <c r="F118" s="18">
        <v>31</v>
      </c>
      <c r="G118" s="18">
        <v>27</v>
      </c>
      <c r="H118" s="19">
        <v>5</v>
      </c>
      <c r="I118" s="18">
        <v>46</v>
      </c>
      <c r="J118" s="19">
        <v>20</v>
      </c>
      <c r="L118" s="18">
        <v>118</v>
      </c>
      <c r="N118" s="19">
        <v>10</v>
      </c>
      <c r="O118" s="20">
        <f t="shared" si="10"/>
        <v>150</v>
      </c>
      <c r="P118" s="1">
        <f t="shared" si="11"/>
        <v>960</v>
      </c>
      <c r="Q118">
        <f t="shared" si="12"/>
        <v>775</v>
      </c>
      <c r="R118">
        <f t="shared" si="13"/>
        <v>553</v>
      </c>
      <c r="S118">
        <f t="shared" si="14"/>
        <v>349.8</v>
      </c>
      <c r="T118">
        <f t="shared" si="15"/>
        <v>293.30400000000003</v>
      </c>
      <c r="U118" s="21">
        <f t="shared" si="16"/>
        <v>0.71354838709677415</v>
      </c>
      <c r="V118" s="21">
        <f t="shared" si="17"/>
        <v>0.83849056603773586</v>
      </c>
      <c r="W118" s="21">
        <f t="shared" si="18"/>
        <v>0.63254972875226045</v>
      </c>
      <c r="X118">
        <f t="shared" si="19"/>
        <v>0.3784567741935484</v>
      </c>
    </row>
    <row r="119" spans="1:24" x14ac:dyDescent="0.3">
      <c r="A119" s="2">
        <v>118</v>
      </c>
      <c r="B119" s="2" t="s">
        <v>5</v>
      </c>
      <c r="C119" s="2">
        <f>Usinage!C119-Usinage!D119-Usinage!E119</f>
        <v>1320</v>
      </c>
      <c r="D119" s="15">
        <v>43</v>
      </c>
      <c r="E119" s="15">
        <v>151</v>
      </c>
      <c r="F119" s="18">
        <v>47</v>
      </c>
      <c r="G119" s="18">
        <v>23</v>
      </c>
      <c r="H119" s="19">
        <v>9</v>
      </c>
      <c r="I119" s="18">
        <v>42</v>
      </c>
      <c r="J119" s="19">
        <v>21</v>
      </c>
      <c r="L119" s="18">
        <v>135</v>
      </c>
      <c r="O119" s="20">
        <f t="shared" si="10"/>
        <v>150</v>
      </c>
      <c r="P119" s="1">
        <f t="shared" si="11"/>
        <v>960</v>
      </c>
      <c r="Q119">
        <f t="shared" si="12"/>
        <v>780</v>
      </c>
      <c r="R119">
        <f t="shared" si="13"/>
        <v>533</v>
      </c>
      <c r="S119">
        <f t="shared" si="14"/>
        <v>348.48</v>
      </c>
      <c r="T119">
        <f t="shared" si="15"/>
        <v>297.26400000000001</v>
      </c>
      <c r="U119" s="21">
        <f t="shared" si="16"/>
        <v>0.68333333333333335</v>
      </c>
      <c r="V119" s="21">
        <f t="shared" si="17"/>
        <v>0.85303030303030303</v>
      </c>
      <c r="W119" s="21">
        <f t="shared" si="18"/>
        <v>0.65380863039399628</v>
      </c>
      <c r="X119">
        <f t="shared" si="19"/>
        <v>0.38110769230769231</v>
      </c>
    </row>
    <row r="120" spans="1:24" x14ac:dyDescent="0.3">
      <c r="A120" s="2">
        <v>119</v>
      </c>
      <c r="B120" s="2" t="s">
        <v>3</v>
      </c>
      <c r="C120" s="2">
        <f>Usinage!C120-Usinage!D120-Usinage!E120</f>
        <v>1243</v>
      </c>
      <c r="D120" s="15">
        <v>57</v>
      </c>
      <c r="E120" s="15">
        <v>165</v>
      </c>
      <c r="F120" s="18">
        <v>30</v>
      </c>
      <c r="G120" s="18">
        <v>31</v>
      </c>
      <c r="H120" s="19">
        <v>6</v>
      </c>
      <c r="I120" s="18">
        <v>55</v>
      </c>
      <c r="J120" s="19">
        <v>24</v>
      </c>
      <c r="L120" s="18">
        <v>104</v>
      </c>
      <c r="O120" s="20">
        <f t="shared" si="10"/>
        <v>150</v>
      </c>
      <c r="P120" s="1">
        <f t="shared" si="11"/>
        <v>960</v>
      </c>
      <c r="Q120">
        <f t="shared" si="12"/>
        <v>780</v>
      </c>
      <c r="R120">
        <f t="shared" si="13"/>
        <v>560</v>
      </c>
      <c r="S120">
        <f t="shared" si="14"/>
        <v>328.15200000000004</v>
      </c>
      <c r="T120">
        <f t="shared" si="15"/>
        <v>269.54400000000004</v>
      </c>
      <c r="U120" s="21">
        <f t="shared" si="16"/>
        <v>0.71794871794871795</v>
      </c>
      <c r="V120" s="21">
        <f t="shared" si="17"/>
        <v>0.8213998390989542</v>
      </c>
      <c r="W120" s="21">
        <f t="shared" si="18"/>
        <v>0.58598571428571433</v>
      </c>
      <c r="X120">
        <f t="shared" si="19"/>
        <v>0.34556923076923085</v>
      </c>
    </row>
    <row r="121" spans="1:24" x14ac:dyDescent="0.3">
      <c r="A121" s="2">
        <v>120</v>
      </c>
      <c r="B121" s="2" t="s">
        <v>5</v>
      </c>
      <c r="C121" s="2">
        <f>Usinage!C121-Usinage!D121-Usinage!E121</f>
        <v>1345</v>
      </c>
      <c r="D121" s="15">
        <v>53</v>
      </c>
      <c r="E121" s="15">
        <v>183</v>
      </c>
      <c r="F121" s="18">
        <v>30</v>
      </c>
      <c r="G121" s="18">
        <v>40</v>
      </c>
      <c r="H121" s="19">
        <v>5</v>
      </c>
      <c r="I121" s="18">
        <v>43</v>
      </c>
      <c r="J121" s="19">
        <v>20</v>
      </c>
      <c r="L121" s="18">
        <v>135</v>
      </c>
      <c r="N121" s="19">
        <v>9</v>
      </c>
      <c r="O121" s="20">
        <f t="shared" si="10"/>
        <v>150</v>
      </c>
      <c r="P121" s="1">
        <f t="shared" si="11"/>
        <v>960</v>
      </c>
      <c r="Q121">
        <f t="shared" si="12"/>
        <v>776</v>
      </c>
      <c r="R121">
        <f t="shared" si="13"/>
        <v>528</v>
      </c>
      <c r="S121">
        <f t="shared" si="14"/>
        <v>355.08000000000004</v>
      </c>
      <c r="T121">
        <f t="shared" si="15"/>
        <v>292.77600000000001</v>
      </c>
      <c r="U121" s="21">
        <f t="shared" si="16"/>
        <v>0.68041237113402064</v>
      </c>
      <c r="V121" s="21">
        <f t="shared" si="17"/>
        <v>0.82453531598513008</v>
      </c>
      <c r="W121" s="21">
        <f t="shared" si="18"/>
        <v>0.6725000000000001</v>
      </c>
      <c r="X121">
        <f t="shared" si="19"/>
        <v>0.37728865979381448</v>
      </c>
    </row>
    <row r="122" spans="1:24" x14ac:dyDescent="0.3">
      <c r="A122" s="2">
        <v>121</v>
      </c>
      <c r="B122" s="2" t="s">
        <v>2</v>
      </c>
      <c r="C122" s="2">
        <f>Usinage!C122-Usinage!D122-Usinage!E122</f>
        <v>1332</v>
      </c>
      <c r="D122" s="15">
        <v>52</v>
      </c>
      <c r="E122" s="15">
        <v>151</v>
      </c>
      <c r="F122" s="18">
        <v>39</v>
      </c>
      <c r="G122" s="18">
        <v>40</v>
      </c>
      <c r="H122" s="19">
        <v>8</v>
      </c>
      <c r="I122" s="18">
        <v>41</v>
      </c>
      <c r="J122" s="19">
        <v>25</v>
      </c>
      <c r="L122" s="18">
        <v>144</v>
      </c>
      <c r="O122" s="20">
        <f t="shared" si="10"/>
        <v>150</v>
      </c>
      <c r="P122" s="1">
        <f t="shared" si="11"/>
        <v>960</v>
      </c>
      <c r="Q122">
        <f t="shared" si="12"/>
        <v>777</v>
      </c>
      <c r="R122">
        <f t="shared" si="13"/>
        <v>513</v>
      </c>
      <c r="S122">
        <f t="shared" si="14"/>
        <v>351.64800000000002</v>
      </c>
      <c r="T122">
        <f t="shared" si="15"/>
        <v>298.05600000000004</v>
      </c>
      <c r="U122" s="21">
        <f t="shared" si="16"/>
        <v>0.66023166023166024</v>
      </c>
      <c r="V122" s="21">
        <f t="shared" si="17"/>
        <v>0.84759759759759756</v>
      </c>
      <c r="W122" s="21">
        <f t="shared" si="18"/>
        <v>0.68547368421052635</v>
      </c>
      <c r="X122">
        <f t="shared" si="19"/>
        <v>0.38359845559845562</v>
      </c>
    </row>
    <row r="123" spans="1:24" x14ac:dyDescent="0.3">
      <c r="A123" s="2">
        <v>122</v>
      </c>
      <c r="B123" s="2" t="s">
        <v>4</v>
      </c>
      <c r="C123" s="2">
        <f>Usinage!C123-Usinage!D123-Usinage!E123</f>
        <v>1439</v>
      </c>
      <c r="D123" s="15">
        <v>51</v>
      </c>
      <c r="E123" s="15">
        <v>186</v>
      </c>
      <c r="G123" s="18">
        <v>18</v>
      </c>
      <c r="H123" s="19">
        <v>8</v>
      </c>
      <c r="I123" s="18">
        <v>30</v>
      </c>
      <c r="J123" s="19">
        <v>23</v>
      </c>
      <c r="L123" s="18">
        <v>128</v>
      </c>
      <c r="O123" s="20">
        <f t="shared" si="10"/>
        <v>150</v>
      </c>
      <c r="P123" s="1">
        <f t="shared" si="11"/>
        <v>960</v>
      </c>
      <c r="Q123">
        <f t="shared" si="12"/>
        <v>779</v>
      </c>
      <c r="R123">
        <f t="shared" si="13"/>
        <v>603</v>
      </c>
      <c r="S123">
        <f t="shared" si="14"/>
        <v>379.89600000000002</v>
      </c>
      <c r="T123">
        <f t="shared" si="15"/>
        <v>317.32800000000003</v>
      </c>
      <c r="U123" s="21">
        <f t="shared" si="16"/>
        <v>0.7740693196405648</v>
      </c>
      <c r="V123" s="21">
        <f t="shared" si="17"/>
        <v>0.8353022932592078</v>
      </c>
      <c r="W123" s="21">
        <f t="shared" si="18"/>
        <v>0.63000995024875628</v>
      </c>
      <c r="X123">
        <f t="shared" si="19"/>
        <v>0.40735301668806168</v>
      </c>
    </row>
    <row r="124" spans="1:24" x14ac:dyDescent="0.3">
      <c r="A124" s="2">
        <v>123</v>
      </c>
      <c r="B124" s="2" t="s">
        <v>3</v>
      </c>
      <c r="C124" s="2">
        <f>Usinage!C124-Usinage!D124-Usinage!E124</f>
        <v>1353</v>
      </c>
      <c r="D124" s="15">
        <v>43</v>
      </c>
      <c r="E124" s="15">
        <v>175</v>
      </c>
      <c r="F124" s="18">
        <v>43</v>
      </c>
      <c r="G124" s="18">
        <v>46</v>
      </c>
      <c r="H124" s="19">
        <v>10</v>
      </c>
      <c r="I124" s="18">
        <v>50</v>
      </c>
      <c r="J124" s="19">
        <v>20</v>
      </c>
      <c r="L124" s="18">
        <v>126</v>
      </c>
      <c r="N124" s="19">
        <v>5</v>
      </c>
      <c r="O124" s="20">
        <f t="shared" si="10"/>
        <v>150</v>
      </c>
      <c r="P124" s="1">
        <f t="shared" si="11"/>
        <v>960</v>
      </c>
      <c r="Q124">
        <f t="shared" si="12"/>
        <v>775</v>
      </c>
      <c r="R124">
        <f t="shared" si="13"/>
        <v>510</v>
      </c>
      <c r="S124">
        <f t="shared" si="14"/>
        <v>357.19200000000001</v>
      </c>
      <c r="T124">
        <f t="shared" si="15"/>
        <v>299.64</v>
      </c>
      <c r="U124" s="21">
        <f t="shared" si="16"/>
        <v>0.65806451612903227</v>
      </c>
      <c r="V124" s="21">
        <f t="shared" si="17"/>
        <v>0.83887657058388765</v>
      </c>
      <c r="W124" s="21">
        <f t="shared" si="18"/>
        <v>0.70037647058823527</v>
      </c>
      <c r="X124">
        <f t="shared" si="19"/>
        <v>0.38663225806451607</v>
      </c>
    </row>
    <row r="125" spans="1:24" x14ac:dyDescent="0.3">
      <c r="A125" s="2">
        <v>124</v>
      </c>
      <c r="B125" s="2" t="s">
        <v>5</v>
      </c>
      <c r="C125" s="2">
        <f>Usinage!C125-Usinage!D125-Usinage!E125</f>
        <v>1365</v>
      </c>
      <c r="D125" s="15">
        <v>48</v>
      </c>
      <c r="E125" s="15">
        <v>156</v>
      </c>
      <c r="F125" s="18">
        <v>31</v>
      </c>
      <c r="G125" s="18">
        <v>53</v>
      </c>
      <c r="H125" s="19">
        <v>10</v>
      </c>
      <c r="I125" s="18">
        <v>29</v>
      </c>
      <c r="J125" s="19">
        <v>20</v>
      </c>
      <c r="L125" s="18">
        <v>100</v>
      </c>
      <c r="O125" s="20">
        <f t="shared" si="10"/>
        <v>150</v>
      </c>
      <c r="P125" s="1">
        <f t="shared" si="11"/>
        <v>960</v>
      </c>
      <c r="Q125">
        <f t="shared" si="12"/>
        <v>780</v>
      </c>
      <c r="R125">
        <f t="shared" si="13"/>
        <v>567</v>
      </c>
      <c r="S125">
        <f t="shared" si="14"/>
        <v>360.36</v>
      </c>
      <c r="T125">
        <f t="shared" si="15"/>
        <v>306.50400000000002</v>
      </c>
      <c r="U125" s="21">
        <f t="shared" si="16"/>
        <v>0.72692307692307689</v>
      </c>
      <c r="V125" s="21">
        <f t="shared" si="17"/>
        <v>0.85054945054945053</v>
      </c>
      <c r="W125" s="21">
        <f t="shared" si="18"/>
        <v>0.63555555555555554</v>
      </c>
      <c r="X125">
        <f t="shared" si="19"/>
        <v>0.3929538461538461</v>
      </c>
    </row>
    <row r="126" spans="1:24" x14ac:dyDescent="0.3">
      <c r="A126" s="2">
        <v>125</v>
      </c>
      <c r="B126" s="2" t="s">
        <v>4</v>
      </c>
      <c r="C126" s="2">
        <f>Usinage!C126-Usinage!D126-Usinage!E126</f>
        <v>1179</v>
      </c>
      <c r="D126" s="15">
        <v>55</v>
      </c>
      <c r="E126" s="15">
        <v>187</v>
      </c>
      <c r="G126" s="18">
        <v>39</v>
      </c>
      <c r="H126" s="19">
        <v>8</v>
      </c>
      <c r="I126" s="18">
        <v>45</v>
      </c>
      <c r="J126" s="19">
        <v>20</v>
      </c>
      <c r="L126" s="18">
        <v>108</v>
      </c>
      <c r="O126" s="20">
        <f t="shared" si="10"/>
        <v>150</v>
      </c>
      <c r="P126" s="1">
        <f t="shared" si="11"/>
        <v>960</v>
      </c>
      <c r="Q126">
        <f t="shared" si="12"/>
        <v>782</v>
      </c>
      <c r="R126">
        <f t="shared" si="13"/>
        <v>590</v>
      </c>
      <c r="S126">
        <f t="shared" si="14"/>
        <v>311.25600000000003</v>
      </c>
      <c r="T126">
        <f t="shared" si="15"/>
        <v>247.36800000000002</v>
      </c>
      <c r="U126" s="21">
        <f t="shared" si="16"/>
        <v>0.75447570332480818</v>
      </c>
      <c r="V126" s="21">
        <f t="shared" si="17"/>
        <v>0.79474130619168792</v>
      </c>
      <c r="W126" s="21">
        <f t="shared" si="18"/>
        <v>0.52755254237288141</v>
      </c>
      <c r="X126">
        <f t="shared" si="19"/>
        <v>0.3163273657289003</v>
      </c>
    </row>
    <row r="127" spans="1:24" x14ac:dyDescent="0.3">
      <c r="A127" s="2">
        <v>126</v>
      </c>
      <c r="B127" s="2" t="s">
        <v>3</v>
      </c>
      <c r="C127" s="2">
        <f>Usinage!C127-Usinage!D127-Usinage!E127</f>
        <v>1296</v>
      </c>
      <c r="D127" s="15">
        <v>50</v>
      </c>
      <c r="E127" s="15">
        <v>164</v>
      </c>
      <c r="G127" s="18">
        <v>39</v>
      </c>
      <c r="H127" s="19">
        <v>9</v>
      </c>
      <c r="I127" s="18">
        <v>31</v>
      </c>
      <c r="J127" s="19">
        <v>24</v>
      </c>
      <c r="L127" s="18">
        <v>135</v>
      </c>
      <c r="N127" s="19">
        <v>7</v>
      </c>
      <c r="O127" s="20">
        <f t="shared" si="10"/>
        <v>150</v>
      </c>
      <c r="P127" s="1">
        <f t="shared" si="11"/>
        <v>960</v>
      </c>
      <c r="Q127">
        <f t="shared" si="12"/>
        <v>770</v>
      </c>
      <c r="R127">
        <f t="shared" si="13"/>
        <v>565</v>
      </c>
      <c r="S127">
        <f t="shared" si="14"/>
        <v>342.14400000000001</v>
      </c>
      <c r="T127">
        <f t="shared" si="15"/>
        <v>285.64800000000002</v>
      </c>
      <c r="U127" s="21">
        <f t="shared" si="16"/>
        <v>0.73376623376623373</v>
      </c>
      <c r="V127" s="21">
        <f t="shared" si="17"/>
        <v>0.83487654320987659</v>
      </c>
      <c r="W127" s="21">
        <f t="shared" si="18"/>
        <v>0.60556460176991156</v>
      </c>
      <c r="X127">
        <f t="shared" si="19"/>
        <v>0.37097142857142856</v>
      </c>
    </row>
    <row r="128" spans="1:24" x14ac:dyDescent="0.3">
      <c r="A128" s="2">
        <v>127</v>
      </c>
      <c r="B128" s="2" t="s">
        <v>2</v>
      </c>
      <c r="C128" s="2">
        <f>Usinage!C128-Usinage!D128-Usinage!E128</f>
        <v>1237</v>
      </c>
      <c r="D128" s="15">
        <v>58</v>
      </c>
      <c r="E128" s="15">
        <v>145</v>
      </c>
      <c r="G128" s="18">
        <v>35</v>
      </c>
      <c r="H128" s="19">
        <v>9</v>
      </c>
      <c r="I128" s="18">
        <v>50</v>
      </c>
      <c r="J128" s="19">
        <v>20</v>
      </c>
      <c r="L128" s="18">
        <v>116</v>
      </c>
      <c r="O128" s="20">
        <f t="shared" si="10"/>
        <v>150</v>
      </c>
      <c r="P128" s="1">
        <f t="shared" si="11"/>
        <v>960</v>
      </c>
      <c r="Q128">
        <f t="shared" si="12"/>
        <v>781</v>
      </c>
      <c r="R128">
        <f t="shared" si="13"/>
        <v>580</v>
      </c>
      <c r="S128">
        <f t="shared" si="14"/>
        <v>326.56800000000004</v>
      </c>
      <c r="T128">
        <f t="shared" si="15"/>
        <v>272.976</v>
      </c>
      <c r="U128" s="21">
        <f t="shared" si="16"/>
        <v>0.74263764404609478</v>
      </c>
      <c r="V128" s="21">
        <f t="shared" si="17"/>
        <v>0.83589329021826997</v>
      </c>
      <c r="W128" s="21">
        <f t="shared" si="18"/>
        <v>0.56304827586206907</v>
      </c>
      <c r="X128">
        <f t="shared" si="19"/>
        <v>0.34952112676056346</v>
      </c>
    </row>
    <row r="129" spans="1:24" x14ac:dyDescent="0.3">
      <c r="A129" s="2">
        <v>128</v>
      </c>
      <c r="B129" s="2" t="s">
        <v>4</v>
      </c>
      <c r="C129" s="2">
        <f>Usinage!C129-Usinage!D129-Usinage!E129</f>
        <v>1174</v>
      </c>
      <c r="D129" s="15">
        <v>57</v>
      </c>
      <c r="E129" s="15">
        <v>131</v>
      </c>
      <c r="G129" s="18">
        <v>29</v>
      </c>
      <c r="H129" s="19">
        <v>6</v>
      </c>
      <c r="I129" s="18">
        <v>45</v>
      </c>
      <c r="J129" s="19">
        <v>21</v>
      </c>
      <c r="L129" s="18">
        <v>102</v>
      </c>
      <c r="O129" s="20">
        <f t="shared" si="10"/>
        <v>150</v>
      </c>
      <c r="P129" s="1">
        <f t="shared" si="11"/>
        <v>960</v>
      </c>
      <c r="Q129">
        <f t="shared" si="12"/>
        <v>783</v>
      </c>
      <c r="R129">
        <f t="shared" si="13"/>
        <v>607</v>
      </c>
      <c r="S129">
        <f t="shared" si="14"/>
        <v>309.93600000000004</v>
      </c>
      <c r="T129">
        <f t="shared" si="15"/>
        <v>260.30400000000003</v>
      </c>
      <c r="U129" s="21">
        <f t="shared" si="16"/>
        <v>0.77522349936143042</v>
      </c>
      <c r="V129" s="21">
        <f t="shared" si="17"/>
        <v>0.83986371379897784</v>
      </c>
      <c r="W129" s="21">
        <f t="shared" si="18"/>
        <v>0.51060296540362449</v>
      </c>
      <c r="X129">
        <f t="shared" si="19"/>
        <v>0.33244444444444454</v>
      </c>
    </row>
    <row r="130" spans="1:24" x14ac:dyDescent="0.3">
      <c r="A130" s="2">
        <v>129</v>
      </c>
      <c r="B130" s="2" t="s">
        <v>3</v>
      </c>
      <c r="C130" s="2">
        <f>Usinage!C130-Usinage!D130-Usinage!E130</f>
        <v>1261</v>
      </c>
      <c r="D130" s="15">
        <v>53</v>
      </c>
      <c r="E130" s="15">
        <v>179</v>
      </c>
      <c r="F130" s="18">
        <v>36</v>
      </c>
      <c r="G130" s="18">
        <v>41</v>
      </c>
      <c r="H130" s="19">
        <v>5</v>
      </c>
      <c r="I130" s="18">
        <v>45</v>
      </c>
      <c r="J130" s="19">
        <v>25</v>
      </c>
      <c r="L130" s="18">
        <v>108</v>
      </c>
      <c r="N130" s="19">
        <v>10</v>
      </c>
      <c r="O130" s="20">
        <f t="shared" si="10"/>
        <v>150</v>
      </c>
      <c r="P130" s="1">
        <f t="shared" si="11"/>
        <v>960</v>
      </c>
      <c r="Q130">
        <f t="shared" si="12"/>
        <v>770</v>
      </c>
      <c r="R130">
        <f t="shared" si="13"/>
        <v>540</v>
      </c>
      <c r="S130">
        <f t="shared" si="14"/>
        <v>332.904</v>
      </c>
      <c r="T130">
        <f t="shared" si="15"/>
        <v>271.65600000000001</v>
      </c>
      <c r="U130" s="21">
        <f t="shared" si="16"/>
        <v>0.70129870129870131</v>
      </c>
      <c r="V130" s="21">
        <f t="shared" si="17"/>
        <v>0.81601903251387786</v>
      </c>
      <c r="W130" s="21">
        <f t="shared" si="18"/>
        <v>0.61648888888888886</v>
      </c>
      <c r="X130">
        <f t="shared" si="19"/>
        <v>0.3528</v>
      </c>
    </row>
    <row r="131" spans="1:24" x14ac:dyDescent="0.3">
      <c r="A131" s="2">
        <v>130</v>
      </c>
      <c r="B131" s="2" t="s">
        <v>3</v>
      </c>
      <c r="C131" s="2">
        <f>Usinage!C131-Usinage!D131-Usinage!E131</f>
        <v>1297</v>
      </c>
      <c r="D131" s="15">
        <v>57</v>
      </c>
      <c r="E131" s="15">
        <v>159</v>
      </c>
      <c r="G131" s="18">
        <v>27</v>
      </c>
      <c r="H131" s="19">
        <v>8</v>
      </c>
      <c r="I131" s="18">
        <v>44</v>
      </c>
      <c r="J131" s="19">
        <v>22</v>
      </c>
      <c r="L131" s="18">
        <v>125</v>
      </c>
      <c r="O131" s="20">
        <f t="shared" ref="O131:O194" si="20">37500/250</f>
        <v>150</v>
      </c>
      <c r="P131" s="1">
        <f t="shared" ref="P131:P194" si="21">4000*60/250</f>
        <v>960</v>
      </c>
      <c r="Q131">
        <f t="shared" ref="Q131:Q194" si="22">P131-H131-J131-M131-N131-O131</f>
        <v>780</v>
      </c>
      <c r="R131">
        <f t="shared" ref="R131:R194" si="23">Q131-F131-G131-I131-K131-L131</f>
        <v>584</v>
      </c>
      <c r="S131">
        <f t="shared" ref="S131:S194" si="24">C131*0.264</f>
        <v>342.40800000000002</v>
      </c>
      <c r="T131">
        <f t="shared" ref="T131:T194" si="25">(C131-D131-E131)*0.264</f>
        <v>285.38400000000001</v>
      </c>
      <c r="U131" s="21">
        <f t="shared" ref="U131:U194" si="26">R131/Q131</f>
        <v>0.74871794871794872</v>
      </c>
      <c r="V131" s="21">
        <f t="shared" ref="V131:V194" si="27">(C131-D131-E131)/C131</f>
        <v>0.83346183500385507</v>
      </c>
      <c r="W131" s="21">
        <f t="shared" ref="W131:W194" si="28">S131/R131</f>
        <v>0.58631506849315074</v>
      </c>
      <c r="X131">
        <f t="shared" ref="X131:X194" si="29">U131*V131*W131</f>
        <v>0.36587692307692316</v>
      </c>
    </row>
    <row r="132" spans="1:24" x14ac:dyDescent="0.3">
      <c r="A132" s="2">
        <v>131</v>
      </c>
      <c r="B132" s="2" t="s">
        <v>3</v>
      </c>
      <c r="C132" s="2">
        <f>Usinage!C132-Usinage!D132-Usinage!E132</f>
        <v>1307</v>
      </c>
      <c r="D132" s="15">
        <v>43</v>
      </c>
      <c r="E132" s="15">
        <v>178</v>
      </c>
      <c r="G132" s="18">
        <v>37</v>
      </c>
      <c r="H132" s="19">
        <v>9</v>
      </c>
      <c r="I132" s="18">
        <v>54</v>
      </c>
      <c r="J132" s="19">
        <v>20</v>
      </c>
      <c r="L132" s="18">
        <v>131</v>
      </c>
      <c r="O132" s="20">
        <f t="shared" si="20"/>
        <v>150</v>
      </c>
      <c r="P132" s="1">
        <f t="shared" si="21"/>
        <v>960</v>
      </c>
      <c r="Q132">
        <f t="shared" si="22"/>
        <v>781</v>
      </c>
      <c r="R132">
        <f t="shared" si="23"/>
        <v>559</v>
      </c>
      <c r="S132">
        <f t="shared" si="24"/>
        <v>345.048</v>
      </c>
      <c r="T132">
        <f t="shared" si="25"/>
        <v>286.70400000000001</v>
      </c>
      <c r="U132" s="21">
        <f t="shared" si="26"/>
        <v>0.71574903969270165</v>
      </c>
      <c r="V132" s="21">
        <f t="shared" si="27"/>
        <v>0.83091048201989293</v>
      </c>
      <c r="W132" s="21">
        <f t="shared" si="28"/>
        <v>0.61725939177101963</v>
      </c>
      <c r="X132">
        <f t="shared" si="29"/>
        <v>0.36709859154929581</v>
      </c>
    </row>
    <row r="133" spans="1:24" x14ac:dyDescent="0.3">
      <c r="A133" s="2">
        <v>132</v>
      </c>
      <c r="B133" s="2" t="s">
        <v>5</v>
      </c>
      <c r="C133" s="2">
        <f>Usinage!C133-Usinage!D133-Usinage!E133</f>
        <v>1310</v>
      </c>
      <c r="D133" s="15">
        <v>57</v>
      </c>
      <c r="E133" s="15">
        <v>150</v>
      </c>
      <c r="G133" s="18">
        <v>45</v>
      </c>
      <c r="H133" s="19">
        <v>8</v>
      </c>
      <c r="I133" s="18">
        <v>55</v>
      </c>
      <c r="J133" s="19">
        <v>25</v>
      </c>
      <c r="L133" s="18">
        <v>130</v>
      </c>
      <c r="N133" s="19">
        <v>9</v>
      </c>
      <c r="O133" s="20">
        <f t="shared" si="20"/>
        <v>150</v>
      </c>
      <c r="P133" s="1">
        <f t="shared" si="21"/>
        <v>960</v>
      </c>
      <c r="Q133">
        <f t="shared" si="22"/>
        <v>768</v>
      </c>
      <c r="R133">
        <f t="shared" si="23"/>
        <v>538</v>
      </c>
      <c r="S133">
        <f t="shared" si="24"/>
        <v>345.84000000000003</v>
      </c>
      <c r="T133">
        <f t="shared" si="25"/>
        <v>291.19200000000001</v>
      </c>
      <c r="U133" s="21">
        <f t="shared" si="26"/>
        <v>0.70052083333333337</v>
      </c>
      <c r="V133" s="21">
        <f t="shared" si="27"/>
        <v>0.84198473282442743</v>
      </c>
      <c r="W133" s="21">
        <f t="shared" si="28"/>
        <v>0.64282527881040896</v>
      </c>
      <c r="X133">
        <f t="shared" si="29"/>
        <v>0.37915625000000003</v>
      </c>
    </row>
    <row r="134" spans="1:24" x14ac:dyDescent="0.3">
      <c r="A134" s="2">
        <v>133</v>
      </c>
      <c r="B134" s="2" t="s">
        <v>5</v>
      </c>
      <c r="C134" s="2">
        <f>Usinage!C134-Usinage!D134-Usinage!E134</f>
        <v>1403</v>
      </c>
      <c r="D134" s="15">
        <v>52</v>
      </c>
      <c r="E134" s="15">
        <v>149</v>
      </c>
      <c r="G134" s="18">
        <v>33</v>
      </c>
      <c r="H134" s="19">
        <v>8</v>
      </c>
      <c r="I134" s="18">
        <v>48</v>
      </c>
      <c r="J134" s="19">
        <v>25</v>
      </c>
      <c r="L134" s="18">
        <v>109</v>
      </c>
      <c r="O134" s="20">
        <f t="shared" si="20"/>
        <v>150</v>
      </c>
      <c r="P134" s="1">
        <f t="shared" si="21"/>
        <v>960</v>
      </c>
      <c r="Q134">
        <f t="shared" si="22"/>
        <v>777</v>
      </c>
      <c r="R134">
        <f t="shared" si="23"/>
        <v>587</v>
      </c>
      <c r="S134">
        <f t="shared" si="24"/>
        <v>370.392</v>
      </c>
      <c r="T134">
        <f t="shared" si="25"/>
        <v>317.32800000000003</v>
      </c>
      <c r="U134" s="21">
        <f t="shared" si="26"/>
        <v>0.75546975546975548</v>
      </c>
      <c r="V134" s="21">
        <f t="shared" si="27"/>
        <v>0.85673556664290806</v>
      </c>
      <c r="W134" s="21">
        <f t="shared" si="28"/>
        <v>0.63099148211243616</v>
      </c>
      <c r="X134">
        <f t="shared" si="29"/>
        <v>0.40840154440154441</v>
      </c>
    </row>
    <row r="135" spans="1:24" x14ac:dyDescent="0.3">
      <c r="A135" s="2">
        <v>134</v>
      </c>
      <c r="B135" s="2" t="s">
        <v>4</v>
      </c>
      <c r="C135" s="2">
        <f>Usinage!C135-Usinage!D135-Usinage!E135</f>
        <v>1286</v>
      </c>
      <c r="D135" s="15">
        <v>57</v>
      </c>
      <c r="E135" s="15">
        <v>176</v>
      </c>
      <c r="G135" s="18">
        <v>33</v>
      </c>
      <c r="H135" s="19">
        <v>5</v>
      </c>
      <c r="I135" s="18">
        <v>34</v>
      </c>
      <c r="J135" s="19">
        <v>22</v>
      </c>
      <c r="L135" s="18">
        <v>96</v>
      </c>
      <c r="O135" s="20">
        <f t="shared" si="20"/>
        <v>150</v>
      </c>
      <c r="P135" s="1">
        <f t="shared" si="21"/>
        <v>960</v>
      </c>
      <c r="Q135">
        <f t="shared" si="22"/>
        <v>783</v>
      </c>
      <c r="R135">
        <f t="shared" si="23"/>
        <v>620</v>
      </c>
      <c r="S135">
        <f t="shared" si="24"/>
        <v>339.50400000000002</v>
      </c>
      <c r="T135">
        <f t="shared" si="25"/>
        <v>277.99200000000002</v>
      </c>
      <c r="U135" s="21">
        <f t="shared" si="26"/>
        <v>0.79182630906768836</v>
      </c>
      <c r="V135" s="21">
        <f t="shared" si="27"/>
        <v>0.8188180404354588</v>
      </c>
      <c r="W135" s="21">
        <f t="shared" si="28"/>
        <v>0.54758709677419359</v>
      </c>
      <c r="X135">
        <f t="shared" si="29"/>
        <v>0.35503448275862071</v>
      </c>
    </row>
    <row r="136" spans="1:24" x14ac:dyDescent="0.3">
      <c r="A136" s="2">
        <v>135</v>
      </c>
      <c r="B136" s="2" t="s">
        <v>3</v>
      </c>
      <c r="C136" s="2">
        <f>Usinage!C136-Usinage!D136-Usinage!E136</f>
        <v>1271</v>
      </c>
      <c r="D136" s="15">
        <v>52</v>
      </c>
      <c r="E136" s="15">
        <v>180</v>
      </c>
      <c r="G136" s="18">
        <v>30</v>
      </c>
      <c r="H136" s="19">
        <v>7</v>
      </c>
      <c r="I136" s="18">
        <v>45</v>
      </c>
      <c r="J136" s="19">
        <v>24</v>
      </c>
      <c r="L136" s="18">
        <v>116</v>
      </c>
      <c r="N136" s="19">
        <v>10</v>
      </c>
      <c r="O136" s="20">
        <f t="shared" si="20"/>
        <v>150</v>
      </c>
      <c r="P136" s="1">
        <f t="shared" si="21"/>
        <v>960</v>
      </c>
      <c r="Q136">
        <f t="shared" si="22"/>
        <v>769</v>
      </c>
      <c r="R136">
        <f t="shared" si="23"/>
        <v>578</v>
      </c>
      <c r="S136">
        <f t="shared" si="24"/>
        <v>335.54400000000004</v>
      </c>
      <c r="T136">
        <f t="shared" si="25"/>
        <v>274.29599999999999</v>
      </c>
      <c r="U136" s="21">
        <f t="shared" si="26"/>
        <v>0.75162548764629389</v>
      </c>
      <c r="V136" s="21">
        <f t="shared" si="27"/>
        <v>0.81746656176239185</v>
      </c>
      <c r="W136" s="21">
        <f t="shared" si="28"/>
        <v>0.58052595155709352</v>
      </c>
      <c r="X136">
        <f t="shared" si="29"/>
        <v>0.35669180754226271</v>
      </c>
    </row>
    <row r="137" spans="1:24" x14ac:dyDescent="0.3">
      <c r="A137" s="2">
        <v>136</v>
      </c>
      <c r="B137" s="2" t="s">
        <v>2</v>
      </c>
      <c r="C137" s="2">
        <f>Usinage!C137-Usinage!D137-Usinage!E137</f>
        <v>1205</v>
      </c>
      <c r="D137" s="15">
        <v>50</v>
      </c>
      <c r="E137" s="15">
        <v>137</v>
      </c>
      <c r="G137" s="18">
        <v>30</v>
      </c>
      <c r="H137" s="19">
        <v>10</v>
      </c>
      <c r="I137" s="18">
        <v>59</v>
      </c>
      <c r="J137" s="19">
        <v>23</v>
      </c>
      <c r="L137" s="18">
        <v>135</v>
      </c>
      <c r="O137" s="20">
        <f t="shared" si="20"/>
        <v>150</v>
      </c>
      <c r="P137" s="1">
        <f t="shared" si="21"/>
        <v>960</v>
      </c>
      <c r="Q137">
        <f t="shared" si="22"/>
        <v>777</v>
      </c>
      <c r="R137">
        <f t="shared" si="23"/>
        <v>553</v>
      </c>
      <c r="S137">
        <f t="shared" si="24"/>
        <v>318.12</v>
      </c>
      <c r="T137">
        <f t="shared" si="25"/>
        <v>268.75200000000001</v>
      </c>
      <c r="U137" s="21">
        <f t="shared" si="26"/>
        <v>0.71171171171171166</v>
      </c>
      <c r="V137" s="21">
        <f t="shared" si="27"/>
        <v>0.84481327800829875</v>
      </c>
      <c r="W137" s="21">
        <f t="shared" si="28"/>
        <v>0.57526220614828205</v>
      </c>
      <c r="X137">
        <f t="shared" si="29"/>
        <v>0.34588416988416981</v>
      </c>
    </row>
    <row r="138" spans="1:24" x14ac:dyDescent="0.3">
      <c r="A138" s="2">
        <v>137</v>
      </c>
      <c r="B138" s="2" t="s">
        <v>4</v>
      </c>
      <c r="C138" s="2">
        <f>Usinage!C138-Usinage!D138-Usinage!E138</f>
        <v>1204</v>
      </c>
      <c r="D138" s="15">
        <v>50</v>
      </c>
      <c r="E138" s="15">
        <v>145</v>
      </c>
      <c r="F138" s="18">
        <v>38</v>
      </c>
      <c r="G138" s="18">
        <v>44</v>
      </c>
      <c r="H138" s="19">
        <v>10</v>
      </c>
      <c r="I138" s="18">
        <v>39</v>
      </c>
      <c r="J138" s="19">
        <v>20</v>
      </c>
      <c r="L138" s="18">
        <v>107</v>
      </c>
      <c r="O138" s="20">
        <f t="shared" si="20"/>
        <v>150</v>
      </c>
      <c r="P138" s="1">
        <f t="shared" si="21"/>
        <v>960</v>
      </c>
      <c r="Q138">
        <f t="shared" si="22"/>
        <v>780</v>
      </c>
      <c r="R138">
        <f t="shared" si="23"/>
        <v>552</v>
      </c>
      <c r="S138">
        <f t="shared" si="24"/>
        <v>317.85599999999999</v>
      </c>
      <c r="T138">
        <f t="shared" si="25"/>
        <v>266.37600000000003</v>
      </c>
      <c r="U138" s="21">
        <f t="shared" si="26"/>
        <v>0.70769230769230773</v>
      </c>
      <c r="V138" s="21">
        <f t="shared" si="27"/>
        <v>0.83803986710963452</v>
      </c>
      <c r="W138" s="21">
        <f t="shared" si="28"/>
        <v>0.57582608695652171</v>
      </c>
      <c r="X138">
        <f t="shared" si="29"/>
        <v>0.34150769230769229</v>
      </c>
    </row>
    <row r="139" spans="1:24" x14ac:dyDescent="0.3">
      <c r="A139" s="2">
        <v>138</v>
      </c>
      <c r="B139" s="2" t="s">
        <v>3</v>
      </c>
      <c r="C139" s="2">
        <f>Usinage!C139-Usinage!D139-Usinage!E139</f>
        <v>1130</v>
      </c>
      <c r="D139" s="15">
        <v>52</v>
      </c>
      <c r="E139" s="15">
        <v>183</v>
      </c>
      <c r="F139" s="18">
        <v>50</v>
      </c>
      <c r="G139" s="18">
        <v>47</v>
      </c>
      <c r="H139" s="19">
        <v>6</v>
      </c>
      <c r="I139" s="18">
        <v>57</v>
      </c>
      <c r="J139" s="19">
        <v>21</v>
      </c>
      <c r="L139" s="18">
        <v>138</v>
      </c>
      <c r="N139" s="19">
        <v>8</v>
      </c>
      <c r="O139" s="20">
        <f t="shared" si="20"/>
        <v>150</v>
      </c>
      <c r="P139" s="1">
        <f t="shared" si="21"/>
        <v>960</v>
      </c>
      <c r="Q139">
        <f t="shared" si="22"/>
        <v>775</v>
      </c>
      <c r="R139">
        <f t="shared" si="23"/>
        <v>483</v>
      </c>
      <c r="S139">
        <f t="shared" si="24"/>
        <v>298.32</v>
      </c>
      <c r="T139">
        <f t="shared" si="25"/>
        <v>236.28</v>
      </c>
      <c r="U139" s="21">
        <f t="shared" si="26"/>
        <v>0.62322580645161285</v>
      </c>
      <c r="V139" s="21">
        <f t="shared" si="27"/>
        <v>0.79203539823008851</v>
      </c>
      <c r="W139" s="21">
        <f t="shared" si="28"/>
        <v>0.61763975155279505</v>
      </c>
      <c r="X139">
        <f t="shared" si="29"/>
        <v>0.3048774193548387</v>
      </c>
    </row>
    <row r="140" spans="1:24" x14ac:dyDescent="0.3">
      <c r="A140" s="2">
        <v>139</v>
      </c>
      <c r="B140" s="2" t="s">
        <v>2</v>
      </c>
      <c r="C140" s="2">
        <f>Usinage!C140-Usinage!D140-Usinage!E140</f>
        <v>1101</v>
      </c>
      <c r="D140" s="15">
        <v>50</v>
      </c>
      <c r="E140" s="15">
        <v>142</v>
      </c>
      <c r="F140" s="18">
        <v>49</v>
      </c>
      <c r="G140" s="18">
        <v>29</v>
      </c>
      <c r="H140" s="19">
        <v>8</v>
      </c>
      <c r="I140" s="18">
        <v>48</v>
      </c>
      <c r="J140" s="19">
        <v>23</v>
      </c>
      <c r="L140" s="18">
        <v>126</v>
      </c>
      <c r="O140" s="20">
        <f t="shared" si="20"/>
        <v>150</v>
      </c>
      <c r="P140" s="1">
        <f t="shared" si="21"/>
        <v>960</v>
      </c>
      <c r="Q140">
        <f t="shared" si="22"/>
        <v>779</v>
      </c>
      <c r="R140">
        <f t="shared" si="23"/>
        <v>527</v>
      </c>
      <c r="S140">
        <f t="shared" si="24"/>
        <v>290.66399999999999</v>
      </c>
      <c r="T140">
        <f t="shared" si="25"/>
        <v>239.976</v>
      </c>
      <c r="U140" s="21">
        <f t="shared" si="26"/>
        <v>0.67650834403080873</v>
      </c>
      <c r="V140" s="21">
        <f t="shared" si="27"/>
        <v>0.82561307901907355</v>
      </c>
      <c r="W140" s="21">
        <f t="shared" si="28"/>
        <v>0.55154459203036055</v>
      </c>
      <c r="X140">
        <f t="shared" si="29"/>
        <v>0.30805648267008984</v>
      </c>
    </row>
    <row r="141" spans="1:24" x14ac:dyDescent="0.3">
      <c r="A141" s="2">
        <v>140</v>
      </c>
      <c r="B141" s="2" t="s">
        <v>3</v>
      </c>
      <c r="C141" s="2">
        <f>Usinage!C141-Usinage!D141-Usinage!E141</f>
        <v>1224</v>
      </c>
      <c r="D141" s="15">
        <v>49</v>
      </c>
      <c r="E141" s="15">
        <v>169</v>
      </c>
      <c r="G141" s="18">
        <v>43</v>
      </c>
      <c r="H141" s="19">
        <v>7</v>
      </c>
      <c r="I141" s="18">
        <v>51</v>
      </c>
      <c r="J141" s="19">
        <v>22</v>
      </c>
      <c r="L141" s="18">
        <v>111</v>
      </c>
      <c r="O141" s="20">
        <f t="shared" si="20"/>
        <v>150</v>
      </c>
      <c r="P141" s="1">
        <f t="shared" si="21"/>
        <v>960</v>
      </c>
      <c r="Q141">
        <f t="shared" si="22"/>
        <v>781</v>
      </c>
      <c r="R141">
        <f t="shared" si="23"/>
        <v>576</v>
      </c>
      <c r="S141">
        <f t="shared" si="24"/>
        <v>323.13600000000002</v>
      </c>
      <c r="T141">
        <f t="shared" si="25"/>
        <v>265.584</v>
      </c>
      <c r="U141" s="21">
        <f t="shared" si="26"/>
        <v>0.73751600512163895</v>
      </c>
      <c r="V141" s="21">
        <f t="shared" si="27"/>
        <v>0.82189542483660127</v>
      </c>
      <c r="W141" s="21">
        <f t="shared" si="28"/>
        <v>0.56100000000000005</v>
      </c>
      <c r="X141">
        <f t="shared" si="29"/>
        <v>0.34005633802816904</v>
      </c>
    </row>
    <row r="142" spans="1:24" x14ac:dyDescent="0.3">
      <c r="A142" s="2">
        <v>141</v>
      </c>
      <c r="B142" s="2" t="s">
        <v>3</v>
      </c>
      <c r="C142" s="2">
        <f>Usinage!C142-Usinage!D142-Usinage!E142</f>
        <v>1216</v>
      </c>
      <c r="D142" s="15">
        <v>53</v>
      </c>
      <c r="E142" s="15">
        <v>168</v>
      </c>
      <c r="F142" s="18">
        <v>41</v>
      </c>
      <c r="G142" s="18">
        <v>27</v>
      </c>
      <c r="H142" s="19">
        <v>5</v>
      </c>
      <c r="I142" s="18">
        <v>57</v>
      </c>
      <c r="J142" s="19">
        <v>25</v>
      </c>
      <c r="L142" s="18">
        <v>142</v>
      </c>
      <c r="O142" s="20">
        <f t="shared" si="20"/>
        <v>150</v>
      </c>
      <c r="P142" s="1">
        <f t="shared" si="21"/>
        <v>960</v>
      </c>
      <c r="Q142">
        <f t="shared" si="22"/>
        <v>780</v>
      </c>
      <c r="R142">
        <f t="shared" si="23"/>
        <v>513</v>
      </c>
      <c r="S142">
        <f t="shared" si="24"/>
        <v>321.024</v>
      </c>
      <c r="T142">
        <f t="shared" si="25"/>
        <v>262.68</v>
      </c>
      <c r="U142" s="21">
        <f t="shared" si="26"/>
        <v>0.65769230769230769</v>
      </c>
      <c r="V142" s="21">
        <f t="shared" si="27"/>
        <v>0.81825657894736847</v>
      </c>
      <c r="W142" s="21">
        <f t="shared" si="28"/>
        <v>0.62577777777777777</v>
      </c>
      <c r="X142">
        <f t="shared" si="29"/>
        <v>0.33676923076923077</v>
      </c>
    </row>
    <row r="143" spans="1:24" x14ac:dyDescent="0.3">
      <c r="A143" s="2">
        <v>142</v>
      </c>
      <c r="B143" s="2" t="s">
        <v>5</v>
      </c>
      <c r="C143" s="2">
        <f>Usinage!C143-Usinage!D143-Usinage!E143</f>
        <v>1243</v>
      </c>
      <c r="D143" s="15">
        <v>47</v>
      </c>
      <c r="E143" s="15">
        <v>138</v>
      </c>
      <c r="G143" s="18">
        <v>43</v>
      </c>
      <c r="H143" s="19">
        <v>7</v>
      </c>
      <c r="I143" s="18">
        <v>40</v>
      </c>
      <c r="J143" s="19">
        <v>20</v>
      </c>
      <c r="L143" s="18">
        <v>103</v>
      </c>
      <c r="N143" s="19">
        <v>5</v>
      </c>
      <c r="O143" s="20">
        <f t="shared" si="20"/>
        <v>150</v>
      </c>
      <c r="P143" s="1">
        <f t="shared" si="21"/>
        <v>960</v>
      </c>
      <c r="Q143">
        <f t="shared" si="22"/>
        <v>778</v>
      </c>
      <c r="R143">
        <f t="shared" si="23"/>
        <v>592</v>
      </c>
      <c r="S143">
        <f t="shared" si="24"/>
        <v>328.15200000000004</v>
      </c>
      <c r="T143">
        <f t="shared" si="25"/>
        <v>279.31200000000001</v>
      </c>
      <c r="U143" s="21">
        <f t="shared" si="26"/>
        <v>0.76092544987146526</v>
      </c>
      <c r="V143" s="21">
        <f t="shared" si="27"/>
        <v>0.85116653258246178</v>
      </c>
      <c r="W143" s="21">
        <f t="shared" si="28"/>
        <v>0.55431081081081091</v>
      </c>
      <c r="X143">
        <f t="shared" si="29"/>
        <v>0.35901285347043704</v>
      </c>
    </row>
    <row r="144" spans="1:24" x14ac:dyDescent="0.3">
      <c r="A144" s="2">
        <v>143</v>
      </c>
      <c r="B144" s="2" t="s">
        <v>2</v>
      </c>
      <c r="C144" s="2">
        <f>Usinage!C144-Usinage!D144-Usinage!E144</f>
        <v>1305</v>
      </c>
      <c r="D144" s="15">
        <v>53</v>
      </c>
      <c r="E144" s="15">
        <v>161</v>
      </c>
      <c r="G144" s="18">
        <v>23</v>
      </c>
      <c r="H144" s="19">
        <v>8</v>
      </c>
      <c r="I144" s="18">
        <v>60</v>
      </c>
      <c r="J144" s="19">
        <v>25</v>
      </c>
      <c r="L144" s="18">
        <v>131</v>
      </c>
      <c r="O144" s="20">
        <f t="shared" si="20"/>
        <v>150</v>
      </c>
      <c r="P144" s="1">
        <f t="shared" si="21"/>
        <v>960</v>
      </c>
      <c r="Q144">
        <f t="shared" si="22"/>
        <v>777</v>
      </c>
      <c r="R144">
        <f t="shared" si="23"/>
        <v>563</v>
      </c>
      <c r="S144">
        <f t="shared" si="24"/>
        <v>344.52000000000004</v>
      </c>
      <c r="T144">
        <f t="shared" si="25"/>
        <v>288.024</v>
      </c>
      <c r="U144" s="21">
        <f t="shared" si="26"/>
        <v>0.72458172458172454</v>
      </c>
      <c r="V144" s="21">
        <f t="shared" si="27"/>
        <v>0.83601532567049808</v>
      </c>
      <c r="W144" s="21">
        <f t="shared" si="28"/>
        <v>0.61193605683836594</v>
      </c>
      <c r="X144">
        <f t="shared" si="29"/>
        <v>0.37068725868725866</v>
      </c>
    </row>
    <row r="145" spans="1:24" x14ac:dyDescent="0.3">
      <c r="A145" s="2">
        <v>144</v>
      </c>
      <c r="B145" s="2" t="s">
        <v>4</v>
      </c>
      <c r="C145" s="2">
        <f>Usinage!C145-Usinage!D145-Usinage!E145</f>
        <v>1315</v>
      </c>
      <c r="D145" s="15">
        <v>52</v>
      </c>
      <c r="E145" s="15">
        <v>185</v>
      </c>
      <c r="F145" s="18">
        <v>45</v>
      </c>
      <c r="G145" s="18">
        <v>41</v>
      </c>
      <c r="H145" s="19">
        <v>8</v>
      </c>
      <c r="I145" s="18">
        <v>45</v>
      </c>
      <c r="J145" s="19">
        <v>22</v>
      </c>
      <c r="L145" s="18">
        <v>136</v>
      </c>
      <c r="O145" s="20">
        <f t="shared" si="20"/>
        <v>150</v>
      </c>
      <c r="P145" s="1">
        <f t="shared" si="21"/>
        <v>960</v>
      </c>
      <c r="Q145">
        <f t="shared" si="22"/>
        <v>780</v>
      </c>
      <c r="R145">
        <f t="shared" si="23"/>
        <v>513</v>
      </c>
      <c r="S145">
        <f t="shared" si="24"/>
        <v>347.16</v>
      </c>
      <c r="T145">
        <f t="shared" si="25"/>
        <v>284.59200000000004</v>
      </c>
      <c r="U145" s="21">
        <f t="shared" si="26"/>
        <v>0.65769230769230769</v>
      </c>
      <c r="V145" s="21">
        <f t="shared" si="27"/>
        <v>0.81977186311787076</v>
      </c>
      <c r="W145" s="21">
        <f t="shared" si="28"/>
        <v>0.67672514619883051</v>
      </c>
      <c r="X145">
        <f t="shared" si="29"/>
        <v>0.36486153846153851</v>
      </c>
    </row>
    <row r="146" spans="1:24" x14ac:dyDescent="0.3">
      <c r="A146" s="2">
        <v>145</v>
      </c>
      <c r="B146" s="2" t="s">
        <v>3</v>
      </c>
      <c r="C146" s="2">
        <f>Usinage!C146-Usinage!D146-Usinage!E146</f>
        <v>1248</v>
      </c>
      <c r="D146" s="15">
        <v>49</v>
      </c>
      <c r="E146" s="15">
        <v>167</v>
      </c>
      <c r="F146" s="18">
        <v>42</v>
      </c>
      <c r="G146" s="18">
        <v>24</v>
      </c>
      <c r="H146" s="19">
        <v>8</v>
      </c>
      <c r="I146" s="18">
        <v>63</v>
      </c>
      <c r="J146" s="19">
        <v>25</v>
      </c>
      <c r="L146" s="18">
        <v>111</v>
      </c>
      <c r="O146" s="20">
        <f t="shared" si="20"/>
        <v>150</v>
      </c>
      <c r="P146" s="1">
        <f t="shared" si="21"/>
        <v>960</v>
      </c>
      <c r="Q146">
        <f t="shared" si="22"/>
        <v>777</v>
      </c>
      <c r="R146">
        <f t="shared" si="23"/>
        <v>537</v>
      </c>
      <c r="S146">
        <f t="shared" si="24"/>
        <v>329.47200000000004</v>
      </c>
      <c r="T146">
        <f t="shared" si="25"/>
        <v>272.44800000000004</v>
      </c>
      <c r="U146" s="21">
        <f t="shared" si="26"/>
        <v>0.69111969111969107</v>
      </c>
      <c r="V146" s="21">
        <f t="shared" si="27"/>
        <v>0.82692307692307687</v>
      </c>
      <c r="W146" s="21">
        <f t="shared" si="28"/>
        <v>0.61354189944134085</v>
      </c>
      <c r="X146">
        <f t="shared" si="29"/>
        <v>0.35064092664092661</v>
      </c>
    </row>
    <row r="147" spans="1:24" x14ac:dyDescent="0.3">
      <c r="A147" s="2">
        <v>146</v>
      </c>
      <c r="B147" s="2" t="s">
        <v>5</v>
      </c>
      <c r="C147" s="2">
        <f>Usinage!C147-Usinage!D147-Usinage!E147</f>
        <v>1198</v>
      </c>
      <c r="D147" s="15">
        <v>55</v>
      </c>
      <c r="E147" s="15">
        <v>143</v>
      </c>
      <c r="G147" s="18">
        <v>48</v>
      </c>
      <c r="H147" s="19">
        <v>8</v>
      </c>
      <c r="I147" s="18">
        <v>57</v>
      </c>
      <c r="J147" s="19">
        <v>24</v>
      </c>
      <c r="L147" s="18">
        <v>141</v>
      </c>
      <c r="O147" s="20">
        <f t="shared" si="20"/>
        <v>150</v>
      </c>
      <c r="P147" s="1">
        <f t="shared" si="21"/>
        <v>960</v>
      </c>
      <c r="Q147">
        <f t="shared" si="22"/>
        <v>778</v>
      </c>
      <c r="R147">
        <f t="shared" si="23"/>
        <v>532</v>
      </c>
      <c r="S147">
        <f t="shared" si="24"/>
        <v>316.27199999999999</v>
      </c>
      <c r="T147">
        <f t="shared" si="25"/>
        <v>264</v>
      </c>
      <c r="U147" s="21">
        <f t="shared" si="26"/>
        <v>0.68380462724935731</v>
      </c>
      <c r="V147" s="21">
        <f t="shared" si="27"/>
        <v>0.8347245409015025</v>
      </c>
      <c r="W147" s="21">
        <f t="shared" si="28"/>
        <v>0.59449624060150374</v>
      </c>
      <c r="X147">
        <f t="shared" si="29"/>
        <v>0.33933161953727503</v>
      </c>
    </row>
    <row r="148" spans="1:24" x14ac:dyDescent="0.3">
      <c r="A148" s="2">
        <v>147</v>
      </c>
      <c r="B148" s="2" t="s">
        <v>3</v>
      </c>
      <c r="C148" s="2">
        <f>Usinage!C148-Usinage!D148-Usinage!E148</f>
        <v>1245</v>
      </c>
      <c r="D148" s="15">
        <v>44</v>
      </c>
      <c r="E148" s="15">
        <v>149</v>
      </c>
      <c r="G148" s="18">
        <v>29</v>
      </c>
      <c r="H148" s="19">
        <v>10</v>
      </c>
      <c r="I148" s="18">
        <v>60</v>
      </c>
      <c r="J148" s="19">
        <v>21</v>
      </c>
      <c r="L148" s="18">
        <v>128</v>
      </c>
      <c r="N148" s="19">
        <v>10</v>
      </c>
      <c r="O148" s="20">
        <f t="shared" si="20"/>
        <v>150</v>
      </c>
      <c r="P148" s="1">
        <f t="shared" si="21"/>
        <v>960</v>
      </c>
      <c r="Q148">
        <f t="shared" si="22"/>
        <v>769</v>
      </c>
      <c r="R148">
        <f t="shared" si="23"/>
        <v>552</v>
      </c>
      <c r="S148">
        <f t="shared" si="24"/>
        <v>328.68</v>
      </c>
      <c r="T148">
        <f t="shared" si="25"/>
        <v>277.72800000000001</v>
      </c>
      <c r="U148" s="21">
        <f t="shared" si="26"/>
        <v>0.71781534460338103</v>
      </c>
      <c r="V148" s="21">
        <f t="shared" si="27"/>
        <v>0.84497991967871489</v>
      </c>
      <c r="W148" s="21">
        <f t="shared" si="28"/>
        <v>0.59543478260869565</v>
      </c>
      <c r="X148">
        <f t="shared" si="29"/>
        <v>0.3611547464239272</v>
      </c>
    </row>
    <row r="149" spans="1:24" x14ac:dyDescent="0.3">
      <c r="A149" s="2">
        <v>148</v>
      </c>
      <c r="B149" s="2" t="s">
        <v>5</v>
      </c>
      <c r="C149" s="2">
        <f>Usinage!C149-Usinage!D149-Usinage!E149</f>
        <v>1177</v>
      </c>
      <c r="D149" s="15">
        <v>54</v>
      </c>
      <c r="E149" s="15">
        <v>153</v>
      </c>
      <c r="G149" s="18">
        <v>37</v>
      </c>
      <c r="H149" s="19">
        <v>6</v>
      </c>
      <c r="I149" s="18">
        <v>55</v>
      </c>
      <c r="J149" s="19">
        <v>23</v>
      </c>
      <c r="L149" s="18">
        <v>112</v>
      </c>
      <c r="O149" s="20">
        <f t="shared" si="20"/>
        <v>150</v>
      </c>
      <c r="P149" s="1">
        <f t="shared" si="21"/>
        <v>960</v>
      </c>
      <c r="Q149">
        <f t="shared" si="22"/>
        <v>781</v>
      </c>
      <c r="R149">
        <f t="shared" si="23"/>
        <v>577</v>
      </c>
      <c r="S149">
        <f t="shared" si="24"/>
        <v>310.72800000000001</v>
      </c>
      <c r="T149">
        <f t="shared" si="25"/>
        <v>256.08</v>
      </c>
      <c r="U149" s="21">
        <f t="shared" si="26"/>
        <v>0.73879641485275294</v>
      </c>
      <c r="V149" s="21">
        <f t="shared" si="27"/>
        <v>0.82412914188615127</v>
      </c>
      <c r="W149" s="21">
        <f t="shared" si="28"/>
        <v>0.53852339688041595</v>
      </c>
      <c r="X149">
        <f t="shared" si="29"/>
        <v>0.32788732394366199</v>
      </c>
    </row>
    <row r="150" spans="1:24" x14ac:dyDescent="0.3">
      <c r="A150" s="2">
        <v>149</v>
      </c>
      <c r="B150" s="2" t="s">
        <v>2</v>
      </c>
      <c r="C150" s="2">
        <f>Usinage!C150-Usinage!D150-Usinage!E150</f>
        <v>1155</v>
      </c>
      <c r="D150" s="15">
        <v>43</v>
      </c>
      <c r="E150" s="15">
        <v>155</v>
      </c>
      <c r="G150" s="18">
        <v>39</v>
      </c>
      <c r="H150" s="19">
        <v>7</v>
      </c>
      <c r="I150" s="18">
        <v>49</v>
      </c>
      <c r="J150" s="19">
        <v>23</v>
      </c>
      <c r="L150" s="18">
        <v>109</v>
      </c>
      <c r="N150" s="19">
        <v>8</v>
      </c>
      <c r="O150" s="20">
        <f t="shared" si="20"/>
        <v>150</v>
      </c>
      <c r="P150" s="1">
        <f t="shared" si="21"/>
        <v>960</v>
      </c>
      <c r="Q150">
        <f t="shared" si="22"/>
        <v>772</v>
      </c>
      <c r="R150">
        <f t="shared" si="23"/>
        <v>575</v>
      </c>
      <c r="S150">
        <f t="shared" si="24"/>
        <v>304.92</v>
      </c>
      <c r="T150">
        <f t="shared" si="25"/>
        <v>252.64800000000002</v>
      </c>
      <c r="U150" s="21">
        <f t="shared" si="26"/>
        <v>0.74481865284974091</v>
      </c>
      <c r="V150" s="21">
        <f t="shared" si="27"/>
        <v>0.82857142857142863</v>
      </c>
      <c r="W150" s="21">
        <f t="shared" si="28"/>
        <v>0.53029565217391306</v>
      </c>
      <c r="X150">
        <f t="shared" si="29"/>
        <v>0.3272642487046632</v>
      </c>
    </row>
    <row r="151" spans="1:24" x14ac:dyDescent="0.3">
      <c r="A151" s="2">
        <v>150</v>
      </c>
      <c r="B151" s="2" t="s">
        <v>4</v>
      </c>
      <c r="C151" s="2">
        <f>Usinage!C151-Usinage!D151-Usinage!E151</f>
        <v>1218</v>
      </c>
      <c r="D151" s="15">
        <v>52</v>
      </c>
      <c r="E151" s="15">
        <v>180</v>
      </c>
      <c r="G151" s="18">
        <v>39</v>
      </c>
      <c r="H151" s="19">
        <v>5</v>
      </c>
      <c r="I151" s="18">
        <v>33</v>
      </c>
      <c r="J151" s="19">
        <v>23</v>
      </c>
      <c r="L151" s="18">
        <v>142</v>
      </c>
      <c r="O151" s="20">
        <f t="shared" si="20"/>
        <v>150</v>
      </c>
      <c r="P151" s="1">
        <f t="shared" si="21"/>
        <v>960</v>
      </c>
      <c r="Q151">
        <f t="shared" si="22"/>
        <v>782</v>
      </c>
      <c r="R151">
        <f t="shared" si="23"/>
        <v>568</v>
      </c>
      <c r="S151">
        <f t="shared" si="24"/>
        <v>321.55200000000002</v>
      </c>
      <c r="T151">
        <f t="shared" si="25"/>
        <v>260.30400000000003</v>
      </c>
      <c r="U151" s="21">
        <f t="shared" si="26"/>
        <v>0.72634271099744241</v>
      </c>
      <c r="V151" s="21">
        <f t="shared" si="27"/>
        <v>0.80952380952380953</v>
      </c>
      <c r="W151" s="21">
        <f t="shared" si="28"/>
        <v>0.56611267605633808</v>
      </c>
      <c r="X151">
        <f t="shared" si="29"/>
        <v>0.33286956521739131</v>
      </c>
    </row>
    <row r="152" spans="1:24" x14ac:dyDescent="0.3">
      <c r="A152" s="2">
        <v>151</v>
      </c>
      <c r="B152" s="2" t="s">
        <v>4</v>
      </c>
      <c r="C152" s="2">
        <f>Usinage!C152-Usinage!D152-Usinage!E152</f>
        <v>1220</v>
      </c>
      <c r="D152" s="15">
        <v>58</v>
      </c>
      <c r="E152" s="15">
        <v>143</v>
      </c>
      <c r="F152" s="18">
        <v>45</v>
      </c>
      <c r="G152" s="18">
        <v>24</v>
      </c>
      <c r="H152" s="19">
        <v>9</v>
      </c>
      <c r="I152" s="18">
        <v>33</v>
      </c>
      <c r="J152" s="19">
        <v>24</v>
      </c>
      <c r="L152" s="18">
        <v>134</v>
      </c>
      <c r="O152" s="20">
        <f t="shared" si="20"/>
        <v>150</v>
      </c>
      <c r="P152" s="1">
        <f t="shared" si="21"/>
        <v>960</v>
      </c>
      <c r="Q152">
        <f t="shared" si="22"/>
        <v>777</v>
      </c>
      <c r="R152">
        <f t="shared" si="23"/>
        <v>541</v>
      </c>
      <c r="S152">
        <f t="shared" si="24"/>
        <v>322.08000000000004</v>
      </c>
      <c r="T152">
        <f t="shared" si="25"/>
        <v>269.01600000000002</v>
      </c>
      <c r="U152" s="21">
        <f t="shared" si="26"/>
        <v>0.69626769626769625</v>
      </c>
      <c r="V152" s="21">
        <f t="shared" si="27"/>
        <v>0.83524590163934431</v>
      </c>
      <c r="W152" s="21">
        <f t="shared" si="28"/>
        <v>0.59534195933456568</v>
      </c>
      <c r="X152">
        <f t="shared" si="29"/>
        <v>0.34622393822393827</v>
      </c>
    </row>
    <row r="153" spans="1:24" x14ac:dyDescent="0.3">
      <c r="A153" s="2">
        <v>152</v>
      </c>
      <c r="B153" s="2" t="s">
        <v>3</v>
      </c>
      <c r="C153" s="2">
        <f>Usinage!C153-Usinage!D153-Usinage!E153</f>
        <v>1148</v>
      </c>
      <c r="D153" s="15">
        <v>60</v>
      </c>
      <c r="E153" s="15">
        <v>150</v>
      </c>
      <c r="F153" s="18">
        <v>32</v>
      </c>
      <c r="G153" s="18">
        <v>41</v>
      </c>
      <c r="H153" s="19">
        <v>6</v>
      </c>
      <c r="I153" s="18">
        <v>24</v>
      </c>
      <c r="J153" s="19">
        <v>23</v>
      </c>
      <c r="L153" s="18">
        <v>109</v>
      </c>
      <c r="O153" s="20">
        <f t="shared" si="20"/>
        <v>150</v>
      </c>
      <c r="P153" s="1">
        <f t="shared" si="21"/>
        <v>960</v>
      </c>
      <c r="Q153">
        <f t="shared" si="22"/>
        <v>781</v>
      </c>
      <c r="R153">
        <f t="shared" si="23"/>
        <v>575</v>
      </c>
      <c r="S153">
        <f t="shared" si="24"/>
        <v>303.072</v>
      </c>
      <c r="T153">
        <f t="shared" si="25"/>
        <v>247.63200000000001</v>
      </c>
      <c r="U153" s="21">
        <f t="shared" si="26"/>
        <v>0.73623559539052497</v>
      </c>
      <c r="V153" s="21">
        <f t="shared" si="27"/>
        <v>0.81707317073170727</v>
      </c>
      <c r="W153" s="21">
        <f t="shared" si="28"/>
        <v>0.52708173913043477</v>
      </c>
      <c r="X153">
        <f t="shared" si="29"/>
        <v>0.31707042253521123</v>
      </c>
    </row>
    <row r="154" spans="1:24" x14ac:dyDescent="0.3">
      <c r="A154" s="2">
        <v>153</v>
      </c>
      <c r="B154" s="2" t="s">
        <v>2</v>
      </c>
      <c r="C154" s="2">
        <f>Usinage!C154-Usinage!D154-Usinage!E154</f>
        <v>1195</v>
      </c>
      <c r="D154" s="15">
        <v>48</v>
      </c>
      <c r="E154" s="15">
        <v>124</v>
      </c>
      <c r="G154" s="18">
        <v>51</v>
      </c>
      <c r="H154" s="19">
        <v>5</v>
      </c>
      <c r="I154" s="18">
        <v>26</v>
      </c>
      <c r="J154" s="19">
        <v>20</v>
      </c>
      <c r="L154" s="18">
        <v>126</v>
      </c>
      <c r="O154" s="20">
        <f t="shared" si="20"/>
        <v>150</v>
      </c>
      <c r="P154" s="1">
        <f t="shared" si="21"/>
        <v>960</v>
      </c>
      <c r="Q154">
        <f t="shared" si="22"/>
        <v>785</v>
      </c>
      <c r="R154">
        <f t="shared" si="23"/>
        <v>582</v>
      </c>
      <c r="S154">
        <f t="shared" si="24"/>
        <v>315.48</v>
      </c>
      <c r="T154">
        <f t="shared" si="25"/>
        <v>270.072</v>
      </c>
      <c r="U154" s="21">
        <f t="shared" si="26"/>
        <v>0.74140127388535026</v>
      </c>
      <c r="V154" s="21">
        <f t="shared" si="27"/>
        <v>0.85606694560669461</v>
      </c>
      <c r="W154" s="21">
        <f t="shared" si="28"/>
        <v>0.54206185567010312</v>
      </c>
      <c r="X154">
        <f t="shared" si="29"/>
        <v>0.34404076433121022</v>
      </c>
    </row>
    <row r="155" spans="1:24" x14ac:dyDescent="0.3">
      <c r="A155" s="2">
        <v>154</v>
      </c>
      <c r="B155" s="2" t="s">
        <v>4</v>
      </c>
      <c r="C155" s="2">
        <f>Usinage!C155-Usinage!D155-Usinage!E155</f>
        <v>1285</v>
      </c>
      <c r="D155" s="15">
        <v>50</v>
      </c>
      <c r="E155" s="15">
        <v>131</v>
      </c>
      <c r="G155" s="18">
        <v>45</v>
      </c>
      <c r="H155" s="19">
        <v>9</v>
      </c>
      <c r="I155" s="18">
        <v>30</v>
      </c>
      <c r="J155" s="19">
        <v>23</v>
      </c>
      <c r="L155" s="18">
        <v>120</v>
      </c>
      <c r="N155" s="19">
        <v>8</v>
      </c>
      <c r="O155" s="20">
        <f t="shared" si="20"/>
        <v>150</v>
      </c>
      <c r="P155" s="1">
        <f t="shared" si="21"/>
        <v>960</v>
      </c>
      <c r="Q155">
        <f t="shared" si="22"/>
        <v>770</v>
      </c>
      <c r="R155">
        <f t="shared" si="23"/>
        <v>575</v>
      </c>
      <c r="S155">
        <f t="shared" si="24"/>
        <v>339.24</v>
      </c>
      <c r="T155">
        <f t="shared" si="25"/>
        <v>291.45600000000002</v>
      </c>
      <c r="U155" s="21">
        <f t="shared" si="26"/>
        <v>0.74675324675324672</v>
      </c>
      <c r="V155" s="21">
        <f t="shared" si="27"/>
        <v>0.85914396887159528</v>
      </c>
      <c r="W155" s="21">
        <f t="shared" si="28"/>
        <v>0.58998260869565222</v>
      </c>
      <c r="X155">
        <f t="shared" si="29"/>
        <v>0.37851428571428569</v>
      </c>
    </row>
    <row r="156" spans="1:24" x14ac:dyDescent="0.3">
      <c r="A156" s="2">
        <v>155</v>
      </c>
      <c r="B156" s="2" t="s">
        <v>3</v>
      </c>
      <c r="C156" s="2">
        <f>Usinage!C156-Usinage!D156-Usinage!E156</f>
        <v>1108</v>
      </c>
      <c r="D156" s="15">
        <v>58</v>
      </c>
      <c r="E156" s="15">
        <v>158</v>
      </c>
      <c r="G156" s="18">
        <v>31</v>
      </c>
      <c r="H156" s="19">
        <v>8</v>
      </c>
      <c r="I156" s="18">
        <v>26</v>
      </c>
      <c r="J156" s="19">
        <v>25</v>
      </c>
      <c r="L156" s="18">
        <v>132</v>
      </c>
      <c r="O156" s="20">
        <f t="shared" si="20"/>
        <v>150</v>
      </c>
      <c r="P156" s="1">
        <f t="shared" si="21"/>
        <v>960</v>
      </c>
      <c r="Q156">
        <f t="shared" si="22"/>
        <v>777</v>
      </c>
      <c r="R156">
        <f t="shared" si="23"/>
        <v>588</v>
      </c>
      <c r="S156">
        <f t="shared" si="24"/>
        <v>292.512</v>
      </c>
      <c r="T156">
        <f t="shared" si="25"/>
        <v>235.488</v>
      </c>
      <c r="U156" s="21">
        <f t="shared" si="26"/>
        <v>0.7567567567567568</v>
      </c>
      <c r="V156" s="21">
        <f t="shared" si="27"/>
        <v>0.80505415162454874</v>
      </c>
      <c r="W156" s="21">
        <f t="shared" si="28"/>
        <v>0.49746938775510202</v>
      </c>
      <c r="X156">
        <f t="shared" si="29"/>
        <v>0.30307335907335908</v>
      </c>
    </row>
    <row r="157" spans="1:24" x14ac:dyDescent="0.3">
      <c r="A157" s="2">
        <v>156</v>
      </c>
      <c r="B157" s="2" t="s">
        <v>5</v>
      </c>
      <c r="C157" s="2">
        <f>Usinage!C157-Usinage!D157-Usinage!E157</f>
        <v>1119</v>
      </c>
      <c r="D157" s="15">
        <v>51</v>
      </c>
      <c r="E157" s="15">
        <v>165</v>
      </c>
      <c r="G157" s="18">
        <v>41</v>
      </c>
      <c r="H157" s="19">
        <v>5</v>
      </c>
      <c r="I157" s="18">
        <v>24</v>
      </c>
      <c r="J157" s="19">
        <v>20</v>
      </c>
      <c r="L157" s="18">
        <v>141</v>
      </c>
      <c r="O157" s="20">
        <f t="shared" si="20"/>
        <v>150</v>
      </c>
      <c r="P157" s="1">
        <f t="shared" si="21"/>
        <v>960</v>
      </c>
      <c r="Q157">
        <f t="shared" si="22"/>
        <v>785</v>
      </c>
      <c r="R157">
        <f t="shared" si="23"/>
        <v>579</v>
      </c>
      <c r="S157">
        <f t="shared" si="24"/>
        <v>295.416</v>
      </c>
      <c r="T157">
        <f t="shared" si="25"/>
        <v>238.39200000000002</v>
      </c>
      <c r="U157" s="21">
        <f t="shared" si="26"/>
        <v>0.73757961783439485</v>
      </c>
      <c r="V157" s="21">
        <f t="shared" si="27"/>
        <v>0.806970509383378</v>
      </c>
      <c r="W157" s="21">
        <f t="shared" si="28"/>
        <v>0.51021761658031084</v>
      </c>
      <c r="X157">
        <f t="shared" si="29"/>
        <v>0.30368407643312095</v>
      </c>
    </row>
    <row r="158" spans="1:24" x14ac:dyDescent="0.3">
      <c r="A158" s="2">
        <v>157</v>
      </c>
      <c r="B158" s="2" t="s">
        <v>4</v>
      </c>
      <c r="C158" s="2">
        <f>Usinage!C158-Usinage!D158-Usinage!E158</f>
        <v>1109</v>
      </c>
      <c r="D158" s="15">
        <v>53</v>
      </c>
      <c r="E158" s="15">
        <v>182</v>
      </c>
      <c r="G158" s="18">
        <v>28</v>
      </c>
      <c r="H158" s="19">
        <v>9</v>
      </c>
      <c r="I158" s="18">
        <v>28</v>
      </c>
      <c r="J158" s="19">
        <v>24</v>
      </c>
      <c r="L158" s="18">
        <v>126</v>
      </c>
      <c r="N158" s="19">
        <v>8</v>
      </c>
      <c r="O158" s="20">
        <f t="shared" si="20"/>
        <v>150</v>
      </c>
      <c r="P158" s="1">
        <f t="shared" si="21"/>
        <v>960</v>
      </c>
      <c r="Q158">
        <f t="shared" si="22"/>
        <v>769</v>
      </c>
      <c r="R158">
        <f t="shared" si="23"/>
        <v>587</v>
      </c>
      <c r="S158">
        <f t="shared" si="24"/>
        <v>292.77600000000001</v>
      </c>
      <c r="T158">
        <f t="shared" si="25"/>
        <v>230.73600000000002</v>
      </c>
      <c r="U158" s="21">
        <f t="shared" si="26"/>
        <v>0.76332899869960991</v>
      </c>
      <c r="V158" s="21">
        <f t="shared" si="27"/>
        <v>0.78809738503156002</v>
      </c>
      <c r="W158" s="21">
        <f t="shared" si="28"/>
        <v>0.49876660988074961</v>
      </c>
      <c r="X158">
        <f t="shared" si="29"/>
        <v>0.30004681404421335</v>
      </c>
    </row>
    <row r="159" spans="1:24" x14ac:dyDescent="0.3">
      <c r="A159" s="2">
        <v>158</v>
      </c>
      <c r="B159" s="2" t="s">
        <v>3</v>
      </c>
      <c r="C159" s="2">
        <f>Usinage!C159-Usinage!D159-Usinage!E159</f>
        <v>1196</v>
      </c>
      <c r="D159" s="15">
        <v>52</v>
      </c>
      <c r="E159" s="15">
        <v>170</v>
      </c>
      <c r="F159" s="18">
        <v>47</v>
      </c>
      <c r="G159" s="18">
        <v>27</v>
      </c>
      <c r="H159" s="19">
        <v>8</v>
      </c>
      <c r="I159" s="18">
        <v>28</v>
      </c>
      <c r="J159" s="19">
        <v>24</v>
      </c>
      <c r="L159" s="18">
        <v>129</v>
      </c>
      <c r="O159" s="20">
        <f t="shared" si="20"/>
        <v>150</v>
      </c>
      <c r="P159" s="1">
        <f t="shared" si="21"/>
        <v>960</v>
      </c>
      <c r="Q159">
        <f t="shared" si="22"/>
        <v>778</v>
      </c>
      <c r="R159">
        <f t="shared" si="23"/>
        <v>547</v>
      </c>
      <c r="S159">
        <f t="shared" si="24"/>
        <v>315.74400000000003</v>
      </c>
      <c r="T159">
        <f t="shared" si="25"/>
        <v>257.13600000000002</v>
      </c>
      <c r="U159" s="21">
        <f t="shared" si="26"/>
        <v>0.70308483290488433</v>
      </c>
      <c r="V159" s="21">
        <f t="shared" si="27"/>
        <v>0.81438127090301005</v>
      </c>
      <c r="W159" s="21">
        <f t="shared" si="28"/>
        <v>0.57722851919561247</v>
      </c>
      <c r="X159">
        <f t="shared" si="29"/>
        <v>0.3305089974293059</v>
      </c>
    </row>
    <row r="160" spans="1:24" x14ac:dyDescent="0.3">
      <c r="A160" s="2">
        <v>159</v>
      </c>
      <c r="B160" s="2" t="s">
        <v>5</v>
      </c>
      <c r="C160" s="2">
        <f>Usinage!C160-Usinage!D160-Usinage!E160</f>
        <v>1249</v>
      </c>
      <c r="D160" s="15">
        <v>40</v>
      </c>
      <c r="E160" s="15">
        <v>204</v>
      </c>
      <c r="G160" s="18">
        <v>20</v>
      </c>
      <c r="H160" s="19">
        <v>7</v>
      </c>
      <c r="I160" s="18">
        <v>33</v>
      </c>
      <c r="J160" s="19">
        <v>22</v>
      </c>
      <c r="L160" s="18">
        <v>119</v>
      </c>
      <c r="N160" s="19">
        <v>6</v>
      </c>
      <c r="O160" s="20">
        <f t="shared" si="20"/>
        <v>150</v>
      </c>
      <c r="P160" s="1">
        <f t="shared" si="21"/>
        <v>960</v>
      </c>
      <c r="Q160">
        <f t="shared" si="22"/>
        <v>775</v>
      </c>
      <c r="R160">
        <f t="shared" si="23"/>
        <v>603</v>
      </c>
      <c r="S160">
        <f t="shared" si="24"/>
        <v>329.73599999999999</v>
      </c>
      <c r="T160">
        <f t="shared" si="25"/>
        <v>265.32</v>
      </c>
      <c r="U160" s="21">
        <f t="shared" si="26"/>
        <v>0.77806451612903227</v>
      </c>
      <c r="V160" s="21">
        <f t="shared" si="27"/>
        <v>0.80464371497197762</v>
      </c>
      <c r="W160" s="21">
        <f t="shared" si="28"/>
        <v>0.54682587064676613</v>
      </c>
      <c r="X160">
        <f t="shared" si="29"/>
        <v>0.34234838709677418</v>
      </c>
    </row>
    <row r="161" spans="1:24" x14ac:dyDescent="0.3">
      <c r="A161" s="2">
        <v>160</v>
      </c>
      <c r="B161" s="2" t="s">
        <v>5</v>
      </c>
      <c r="C161" s="2">
        <f>Usinage!C161-Usinage!D161-Usinage!E161</f>
        <v>1098</v>
      </c>
      <c r="D161" s="15">
        <v>42</v>
      </c>
      <c r="E161" s="15">
        <v>186</v>
      </c>
      <c r="F161" s="18">
        <v>48</v>
      </c>
      <c r="G161" s="18">
        <v>30</v>
      </c>
      <c r="H161" s="19">
        <v>6</v>
      </c>
      <c r="I161" s="18">
        <v>29</v>
      </c>
      <c r="J161" s="19">
        <v>21</v>
      </c>
      <c r="L161" s="18">
        <v>113</v>
      </c>
      <c r="O161" s="20">
        <f t="shared" si="20"/>
        <v>150</v>
      </c>
      <c r="P161" s="1">
        <f t="shared" si="21"/>
        <v>960</v>
      </c>
      <c r="Q161">
        <f t="shared" si="22"/>
        <v>783</v>
      </c>
      <c r="R161">
        <f t="shared" si="23"/>
        <v>563</v>
      </c>
      <c r="S161">
        <f t="shared" si="24"/>
        <v>289.87200000000001</v>
      </c>
      <c r="T161">
        <f t="shared" si="25"/>
        <v>229.68</v>
      </c>
      <c r="U161" s="21">
        <f t="shared" si="26"/>
        <v>0.71902937420178803</v>
      </c>
      <c r="V161" s="21">
        <f t="shared" si="27"/>
        <v>0.79234972677595628</v>
      </c>
      <c r="W161" s="21">
        <f t="shared" si="28"/>
        <v>0.51487033747779754</v>
      </c>
      <c r="X161">
        <f t="shared" si="29"/>
        <v>0.29333333333333333</v>
      </c>
    </row>
    <row r="162" spans="1:24" x14ac:dyDescent="0.3">
      <c r="A162" s="2">
        <v>161</v>
      </c>
      <c r="B162" s="2" t="s">
        <v>4</v>
      </c>
      <c r="C162" s="2">
        <f>Usinage!C162-Usinage!D162-Usinage!E162</f>
        <v>1188</v>
      </c>
      <c r="D162" s="15">
        <v>57</v>
      </c>
      <c r="E162" s="15">
        <v>192</v>
      </c>
      <c r="F162" s="18">
        <v>48</v>
      </c>
      <c r="G162" s="18">
        <v>47</v>
      </c>
      <c r="H162" s="19">
        <v>6</v>
      </c>
      <c r="I162" s="18">
        <v>22</v>
      </c>
      <c r="J162" s="19">
        <v>22</v>
      </c>
      <c r="L162" s="18">
        <v>113</v>
      </c>
      <c r="N162" s="19">
        <v>7</v>
      </c>
      <c r="O162" s="20">
        <f t="shared" si="20"/>
        <v>150</v>
      </c>
      <c r="P162" s="1">
        <f t="shared" si="21"/>
        <v>960</v>
      </c>
      <c r="Q162">
        <f t="shared" si="22"/>
        <v>775</v>
      </c>
      <c r="R162">
        <f t="shared" si="23"/>
        <v>545</v>
      </c>
      <c r="S162">
        <f t="shared" si="24"/>
        <v>313.63200000000001</v>
      </c>
      <c r="T162">
        <f t="shared" si="25"/>
        <v>247.89600000000002</v>
      </c>
      <c r="U162" s="21">
        <f t="shared" si="26"/>
        <v>0.70322580645161292</v>
      </c>
      <c r="V162" s="21">
        <f t="shared" si="27"/>
        <v>0.79040404040404044</v>
      </c>
      <c r="W162" s="21">
        <f t="shared" si="28"/>
        <v>0.57547155963302754</v>
      </c>
      <c r="X162">
        <f t="shared" si="29"/>
        <v>0.31986580645161294</v>
      </c>
    </row>
    <row r="163" spans="1:24" x14ac:dyDescent="0.3">
      <c r="A163" s="2">
        <v>162</v>
      </c>
      <c r="B163" s="2" t="s">
        <v>3</v>
      </c>
      <c r="C163" s="2">
        <f>Usinage!C163-Usinage!D163-Usinage!E163</f>
        <v>1232</v>
      </c>
      <c r="D163" s="15">
        <v>58</v>
      </c>
      <c r="E163" s="15">
        <v>156</v>
      </c>
      <c r="G163" s="18">
        <v>31</v>
      </c>
      <c r="H163" s="19">
        <v>8</v>
      </c>
      <c r="I163" s="18">
        <v>41</v>
      </c>
      <c r="J163" s="19">
        <v>20</v>
      </c>
      <c r="L163" s="18">
        <v>105</v>
      </c>
      <c r="O163" s="20">
        <f t="shared" si="20"/>
        <v>150</v>
      </c>
      <c r="P163" s="1">
        <f t="shared" si="21"/>
        <v>960</v>
      </c>
      <c r="Q163">
        <f t="shared" si="22"/>
        <v>782</v>
      </c>
      <c r="R163">
        <f t="shared" si="23"/>
        <v>605</v>
      </c>
      <c r="S163">
        <f t="shared" si="24"/>
        <v>325.24799999999999</v>
      </c>
      <c r="T163">
        <f t="shared" si="25"/>
        <v>268.75200000000001</v>
      </c>
      <c r="U163" s="21">
        <f t="shared" si="26"/>
        <v>0.77365728900255759</v>
      </c>
      <c r="V163" s="21">
        <f t="shared" si="27"/>
        <v>0.82629870129870131</v>
      </c>
      <c r="W163" s="21">
        <f t="shared" si="28"/>
        <v>0.53759999999999997</v>
      </c>
      <c r="X163">
        <f t="shared" si="29"/>
        <v>0.34367263427109973</v>
      </c>
    </row>
    <row r="164" spans="1:24" x14ac:dyDescent="0.3">
      <c r="A164" s="2">
        <v>163</v>
      </c>
      <c r="B164" s="2" t="s">
        <v>2</v>
      </c>
      <c r="C164" s="2">
        <f>Usinage!C164-Usinage!D164-Usinage!E164</f>
        <v>1217</v>
      </c>
      <c r="D164" s="15">
        <v>58</v>
      </c>
      <c r="E164" s="15">
        <v>173</v>
      </c>
      <c r="G164" s="18">
        <v>47</v>
      </c>
      <c r="H164" s="19">
        <v>5</v>
      </c>
      <c r="I164" s="18">
        <v>27</v>
      </c>
      <c r="J164" s="19">
        <v>22</v>
      </c>
      <c r="L164" s="18">
        <v>104</v>
      </c>
      <c r="N164" s="19">
        <v>9</v>
      </c>
      <c r="O164" s="20">
        <f t="shared" si="20"/>
        <v>150</v>
      </c>
      <c r="P164" s="1">
        <f t="shared" si="21"/>
        <v>960</v>
      </c>
      <c r="Q164">
        <f t="shared" si="22"/>
        <v>774</v>
      </c>
      <c r="R164">
        <f t="shared" si="23"/>
        <v>596</v>
      </c>
      <c r="S164">
        <f t="shared" si="24"/>
        <v>321.28800000000001</v>
      </c>
      <c r="T164">
        <f t="shared" si="25"/>
        <v>260.30400000000003</v>
      </c>
      <c r="U164" s="21">
        <f t="shared" si="26"/>
        <v>0.77002583979328165</v>
      </c>
      <c r="V164" s="21">
        <f t="shared" si="27"/>
        <v>0.8101889893179951</v>
      </c>
      <c r="W164" s="21">
        <f t="shared" si="28"/>
        <v>0.5390738255033557</v>
      </c>
      <c r="X164">
        <f t="shared" si="29"/>
        <v>0.33631007751937986</v>
      </c>
    </row>
    <row r="165" spans="1:24" x14ac:dyDescent="0.3">
      <c r="A165" s="2">
        <v>164</v>
      </c>
      <c r="B165" s="2" t="s">
        <v>4</v>
      </c>
      <c r="C165" s="2">
        <f>Usinage!C165-Usinage!D165-Usinage!E165</f>
        <v>1191</v>
      </c>
      <c r="D165" s="15">
        <v>59</v>
      </c>
      <c r="E165" s="15">
        <v>166</v>
      </c>
      <c r="F165" s="18">
        <v>36</v>
      </c>
      <c r="G165" s="18">
        <v>43</v>
      </c>
      <c r="H165" s="19">
        <v>10</v>
      </c>
      <c r="I165" s="18">
        <v>26</v>
      </c>
      <c r="J165" s="19">
        <v>25</v>
      </c>
      <c r="L165" s="18">
        <v>110</v>
      </c>
      <c r="O165" s="20">
        <f t="shared" si="20"/>
        <v>150</v>
      </c>
      <c r="P165" s="1">
        <f t="shared" si="21"/>
        <v>960</v>
      </c>
      <c r="Q165">
        <f t="shared" si="22"/>
        <v>775</v>
      </c>
      <c r="R165">
        <f t="shared" si="23"/>
        <v>560</v>
      </c>
      <c r="S165">
        <f t="shared" si="24"/>
        <v>314.42400000000004</v>
      </c>
      <c r="T165">
        <f t="shared" si="25"/>
        <v>255.024</v>
      </c>
      <c r="U165" s="21">
        <f t="shared" si="26"/>
        <v>0.72258064516129028</v>
      </c>
      <c r="V165" s="21">
        <f t="shared" si="27"/>
        <v>0.81108312342569266</v>
      </c>
      <c r="W165" s="21">
        <f t="shared" si="28"/>
        <v>0.56147142857142862</v>
      </c>
      <c r="X165">
        <f t="shared" si="29"/>
        <v>0.32906322580645164</v>
      </c>
    </row>
    <row r="166" spans="1:24" x14ac:dyDescent="0.3">
      <c r="A166" s="2">
        <v>165</v>
      </c>
      <c r="B166" s="2" t="s">
        <v>3</v>
      </c>
      <c r="C166" s="2">
        <f>Usinage!C166-Usinage!D166-Usinage!E166</f>
        <v>1172</v>
      </c>
      <c r="D166" s="15">
        <v>50</v>
      </c>
      <c r="E166" s="15">
        <v>158</v>
      </c>
      <c r="G166" s="18">
        <v>27</v>
      </c>
      <c r="H166" s="19">
        <v>5</v>
      </c>
      <c r="I166" s="18">
        <v>26</v>
      </c>
      <c r="J166" s="19">
        <v>24</v>
      </c>
      <c r="L166" s="18">
        <v>105</v>
      </c>
      <c r="O166" s="20">
        <f t="shared" si="20"/>
        <v>150</v>
      </c>
      <c r="P166" s="1">
        <f t="shared" si="21"/>
        <v>960</v>
      </c>
      <c r="Q166">
        <f t="shared" si="22"/>
        <v>781</v>
      </c>
      <c r="R166">
        <f t="shared" si="23"/>
        <v>623</v>
      </c>
      <c r="S166">
        <f t="shared" si="24"/>
        <v>309.40800000000002</v>
      </c>
      <c r="T166">
        <f t="shared" si="25"/>
        <v>254.49600000000001</v>
      </c>
      <c r="U166" s="21">
        <f t="shared" si="26"/>
        <v>0.79769526248399492</v>
      </c>
      <c r="V166" s="21">
        <f t="shared" si="27"/>
        <v>0.8225255972696246</v>
      </c>
      <c r="W166" s="21">
        <f t="shared" si="28"/>
        <v>0.49664205457463889</v>
      </c>
      <c r="X166">
        <f t="shared" si="29"/>
        <v>0.32585915492957751</v>
      </c>
    </row>
    <row r="167" spans="1:24" x14ac:dyDescent="0.3">
      <c r="A167" s="2">
        <v>166</v>
      </c>
      <c r="B167" s="2" t="s">
        <v>3</v>
      </c>
      <c r="C167" s="2">
        <f>Usinage!C167-Usinage!D167-Usinage!E167</f>
        <v>1006</v>
      </c>
      <c r="D167" s="15">
        <v>42</v>
      </c>
      <c r="E167" s="15">
        <v>200</v>
      </c>
      <c r="G167" s="18">
        <v>38</v>
      </c>
      <c r="H167" s="19">
        <v>8</v>
      </c>
      <c r="I167" s="18">
        <v>31</v>
      </c>
      <c r="J167" s="19">
        <v>24</v>
      </c>
      <c r="L167" s="18">
        <v>141</v>
      </c>
      <c r="N167" s="19">
        <v>6</v>
      </c>
      <c r="O167" s="20">
        <f t="shared" si="20"/>
        <v>150</v>
      </c>
      <c r="P167" s="1">
        <f t="shared" si="21"/>
        <v>960</v>
      </c>
      <c r="Q167">
        <f t="shared" si="22"/>
        <v>772</v>
      </c>
      <c r="R167">
        <f t="shared" si="23"/>
        <v>562</v>
      </c>
      <c r="S167">
        <f t="shared" si="24"/>
        <v>265.584</v>
      </c>
      <c r="T167">
        <f t="shared" si="25"/>
        <v>201.696</v>
      </c>
      <c r="U167" s="21">
        <f t="shared" si="26"/>
        <v>0.727979274611399</v>
      </c>
      <c r="V167" s="21">
        <f t="shared" si="27"/>
        <v>0.75944333996023861</v>
      </c>
      <c r="W167" s="21">
        <f t="shared" si="28"/>
        <v>0.4725693950177936</v>
      </c>
      <c r="X167">
        <f t="shared" si="29"/>
        <v>0.26126424870466325</v>
      </c>
    </row>
    <row r="168" spans="1:24" x14ac:dyDescent="0.3">
      <c r="A168" s="2">
        <v>167</v>
      </c>
      <c r="B168" s="2" t="s">
        <v>5</v>
      </c>
      <c r="C168" s="2">
        <f>Usinage!C168-Usinage!D168-Usinage!E168</f>
        <v>1287</v>
      </c>
      <c r="D168" s="15">
        <v>60</v>
      </c>
      <c r="E168" s="15">
        <v>163</v>
      </c>
      <c r="F168" s="18">
        <v>50</v>
      </c>
      <c r="G168" s="18">
        <v>30</v>
      </c>
      <c r="H168" s="19">
        <v>8</v>
      </c>
      <c r="I168" s="18">
        <v>28</v>
      </c>
      <c r="J168" s="19">
        <v>23</v>
      </c>
      <c r="L168" s="18">
        <v>131</v>
      </c>
      <c r="O168" s="20">
        <f t="shared" si="20"/>
        <v>150</v>
      </c>
      <c r="P168" s="1">
        <f t="shared" si="21"/>
        <v>960</v>
      </c>
      <c r="Q168">
        <f t="shared" si="22"/>
        <v>779</v>
      </c>
      <c r="R168">
        <f t="shared" si="23"/>
        <v>540</v>
      </c>
      <c r="S168">
        <f t="shared" si="24"/>
        <v>339.76800000000003</v>
      </c>
      <c r="T168">
        <f t="shared" si="25"/>
        <v>280.89600000000002</v>
      </c>
      <c r="U168" s="21">
        <f t="shared" si="26"/>
        <v>0.69319640564826701</v>
      </c>
      <c r="V168" s="21">
        <f t="shared" si="27"/>
        <v>0.82672882672882675</v>
      </c>
      <c r="W168" s="21">
        <f t="shared" si="28"/>
        <v>0.62920000000000009</v>
      </c>
      <c r="X168">
        <f t="shared" si="29"/>
        <v>0.36058536585365858</v>
      </c>
    </row>
    <row r="169" spans="1:24" x14ac:dyDescent="0.3">
      <c r="A169" s="2">
        <v>168</v>
      </c>
      <c r="B169" s="2" t="s">
        <v>4</v>
      </c>
      <c r="C169" s="2">
        <f>Usinage!C169-Usinage!D169-Usinage!E169</f>
        <v>1248</v>
      </c>
      <c r="D169" s="15">
        <v>50</v>
      </c>
      <c r="E169" s="15">
        <v>163</v>
      </c>
      <c r="G169" s="18">
        <v>29</v>
      </c>
      <c r="H169" s="19">
        <v>6</v>
      </c>
      <c r="I169" s="18">
        <v>37</v>
      </c>
      <c r="J169" s="19">
        <v>23</v>
      </c>
      <c r="L169" s="18">
        <v>135</v>
      </c>
      <c r="N169" s="19">
        <v>6</v>
      </c>
      <c r="O169" s="20">
        <f t="shared" si="20"/>
        <v>150</v>
      </c>
      <c r="P169" s="1">
        <f t="shared" si="21"/>
        <v>960</v>
      </c>
      <c r="Q169">
        <f t="shared" si="22"/>
        <v>775</v>
      </c>
      <c r="R169">
        <f t="shared" si="23"/>
        <v>574</v>
      </c>
      <c r="S169">
        <f t="shared" si="24"/>
        <v>329.47200000000004</v>
      </c>
      <c r="T169">
        <f t="shared" si="25"/>
        <v>273.24</v>
      </c>
      <c r="U169" s="21">
        <f t="shared" si="26"/>
        <v>0.74064516129032254</v>
      </c>
      <c r="V169" s="21">
        <f t="shared" si="27"/>
        <v>0.82932692307692313</v>
      </c>
      <c r="W169" s="21">
        <f t="shared" si="28"/>
        <v>0.57399303135888513</v>
      </c>
      <c r="X169">
        <f t="shared" si="29"/>
        <v>0.35256774193548396</v>
      </c>
    </row>
    <row r="170" spans="1:24" x14ac:dyDescent="0.3">
      <c r="A170" s="2">
        <v>169</v>
      </c>
      <c r="B170" s="2" t="s">
        <v>3</v>
      </c>
      <c r="C170" s="2">
        <f>Usinage!C170-Usinage!D170-Usinage!E170</f>
        <v>1036</v>
      </c>
      <c r="D170" s="15">
        <v>46</v>
      </c>
      <c r="E170" s="15">
        <v>161</v>
      </c>
      <c r="F170" s="18">
        <v>47</v>
      </c>
      <c r="G170" s="18">
        <v>37</v>
      </c>
      <c r="H170" s="19">
        <v>5</v>
      </c>
      <c r="I170" s="18">
        <v>35</v>
      </c>
      <c r="J170" s="19">
        <v>22</v>
      </c>
      <c r="L170" s="18">
        <v>112</v>
      </c>
      <c r="O170" s="20">
        <f t="shared" si="20"/>
        <v>150</v>
      </c>
      <c r="P170" s="1">
        <f t="shared" si="21"/>
        <v>960</v>
      </c>
      <c r="Q170">
        <f t="shared" si="22"/>
        <v>783</v>
      </c>
      <c r="R170">
        <f t="shared" si="23"/>
        <v>552</v>
      </c>
      <c r="S170">
        <f t="shared" si="24"/>
        <v>273.50400000000002</v>
      </c>
      <c r="T170">
        <f t="shared" si="25"/>
        <v>218.85600000000002</v>
      </c>
      <c r="U170" s="21">
        <f t="shared" si="26"/>
        <v>0.70498084291187735</v>
      </c>
      <c r="V170" s="21">
        <f t="shared" si="27"/>
        <v>0.8001930501930502</v>
      </c>
      <c r="W170" s="21">
        <f t="shared" si="28"/>
        <v>0.49547826086956526</v>
      </c>
      <c r="X170">
        <f t="shared" si="29"/>
        <v>0.27950957854406133</v>
      </c>
    </row>
    <row r="171" spans="1:24" x14ac:dyDescent="0.3">
      <c r="A171" s="2">
        <v>170</v>
      </c>
      <c r="B171" s="2" t="s">
        <v>2</v>
      </c>
      <c r="C171" s="2">
        <f>Usinage!C171-Usinage!D171-Usinage!E171</f>
        <v>1125</v>
      </c>
      <c r="D171" s="15">
        <v>51</v>
      </c>
      <c r="E171" s="15">
        <v>178</v>
      </c>
      <c r="F171" s="18">
        <v>49</v>
      </c>
      <c r="G171" s="18">
        <v>33</v>
      </c>
      <c r="H171" s="19">
        <v>7</v>
      </c>
      <c r="I171" s="18">
        <v>24</v>
      </c>
      <c r="J171" s="19">
        <v>24</v>
      </c>
      <c r="L171" s="18">
        <v>97</v>
      </c>
      <c r="O171" s="20">
        <f t="shared" si="20"/>
        <v>150</v>
      </c>
      <c r="P171" s="1">
        <f t="shared" si="21"/>
        <v>960</v>
      </c>
      <c r="Q171">
        <f t="shared" si="22"/>
        <v>779</v>
      </c>
      <c r="R171">
        <f t="shared" si="23"/>
        <v>576</v>
      </c>
      <c r="S171">
        <f t="shared" si="24"/>
        <v>297</v>
      </c>
      <c r="T171">
        <f t="shared" si="25"/>
        <v>236.54400000000001</v>
      </c>
      <c r="U171" s="21">
        <f t="shared" si="26"/>
        <v>0.73940949935815148</v>
      </c>
      <c r="V171" s="21">
        <f t="shared" si="27"/>
        <v>0.7964444444444444</v>
      </c>
      <c r="W171" s="21">
        <f t="shared" si="28"/>
        <v>0.515625</v>
      </c>
      <c r="X171">
        <f t="shared" si="29"/>
        <v>0.30365083440308083</v>
      </c>
    </row>
    <row r="172" spans="1:24" x14ac:dyDescent="0.3">
      <c r="A172" s="2">
        <v>171</v>
      </c>
      <c r="B172" s="2" t="s">
        <v>4</v>
      </c>
      <c r="C172" s="2">
        <f>Usinage!C172-Usinage!D172-Usinage!E172</f>
        <v>1093</v>
      </c>
      <c r="D172" s="15">
        <v>40</v>
      </c>
      <c r="E172" s="15">
        <v>151</v>
      </c>
      <c r="F172" s="18">
        <v>45</v>
      </c>
      <c r="G172" s="18">
        <v>38</v>
      </c>
      <c r="H172" s="19">
        <v>8</v>
      </c>
      <c r="I172" s="18">
        <v>31</v>
      </c>
      <c r="J172" s="19">
        <v>21</v>
      </c>
      <c r="L172" s="18">
        <v>104</v>
      </c>
      <c r="N172" s="19">
        <v>9</v>
      </c>
      <c r="O172" s="20">
        <f t="shared" si="20"/>
        <v>150</v>
      </c>
      <c r="P172" s="1">
        <f t="shared" si="21"/>
        <v>960</v>
      </c>
      <c r="Q172">
        <f t="shared" si="22"/>
        <v>772</v>
      </c>
      <c r="R172">
        <f t="shared" si="23"/>
        <v>554</v>
      </c>
      <c r="S172">
        <f t="shared" si="24"/>
        <v>288.55200000000002</v>
      </c>
      <c r="T172">
        <f t="shared" si="25"/>
        <v>238.12800000000001</v>
      </c>
      <c r="U172" s="21">
        <f t="shared" si="26"/>
        <v>0.71761658031088082</v>
      </c>
      <c r="V172" s="21">
        <f t="shared" si="27"/>
        <v>0.82525160109789575</v>
      </c>
      <c r="W172" s="21">
        <f t="shared" si="28"/>
        <v>0.5208519855595668</v>
      </c>
      <c r="X172">
        <f t="shared" si="29"/>
        <v>0.30845595854922286</v>
      </c>
    </row>
    <row r="173" spans="1:24" x14ac:dyDescent="0.3">
      <c r="A173" s="2">
        <v>172</v>
      </c>
      <c r="B173" s="2" t="s">
        <v>3</v>
      </c>
      <c r="C173" s="2">
        <f>Usinage!C173-Usinage!D173-Usinage!E173</f>
        <v>1095</v>
      </c>
      <c r="D173" s="15">
        <v>56</v>
      </c>
      <c r="E173" s="15">
        <v>171</v>
      </c>
      <c r="G173" s="18">
        <v>24</v>
      </c>
      <c r="H173" s="19">
        <v>8</v>
      </c>
      <c r="I173" s="18">
        <v>23</v>
      </c>
      <c r="J173" s="19">
        <v>22</v>
      </c>
      <c r="L173" s="18">
        <v>93</v>
      </c>
      <c r="O173" s="20">
        <f t="shared" si="20"/>
        <v>150</v>
      </c>
      <c r="P173" s="1">
        <f t="shared" si="21"/>
        <v>960</v>
      </c>
      <c r="Q173">
        <f t="shared" si="22"/>
        <v>780</v>
      </c>
      <c r="R173">
        <f t="shared" si="23"/>
        <v>640</v>
      </c>
      <c r="S173">
        <f t="shared" si="24"/>
        <v>289.08000000000004</v>
      </c>
      <c r="T173">
        <f t="shared" si="25"/>
        <v>229.15200000000002</v>
      </c>
      <c r="U173" s="21">
        <f t="shared" si="26"/>
        <v>0.82051282051282048</v>
      </c>
      <c r="V173" s="21">
        <f t="shared" si="27"/>
        <v>0.79269406392694064</v>
      </c>
      <c r="W173" s="21">
        <f t="shared" si="28"/>
        <v>0.45168750000000008</v>
      </c>
      <c r="X173">
        <f t="shared" si="29"/>
        <v>0.29378461538461542</v>
      </c>
    </row>
    <row r="174" spans="1:24" x14ac:dyDescent="0.3">
      <c r="A174" s="2">
        <v>173</v>
      </c>
      <c r="B174" s="2" t="s">
        <v>5</v>
      </c>
      <c r="C174" s="2">
        <f>Usinage!C174-Usinage!D174-Usinage!E174</f>
        <v>1131</v>
      </c>
      <c r="D174" s="15">
        <v>49</v>
      </c>
      <c r="E174" s="15">
        <v>170</v>
      </c>
      <c r="G174" s="18">
        <v>32</v>
      </c>
      <c r="H174" s="19">
        <v>10</v>
      </c>
      <c r="I174" s="18">
        <v>18</v>
      </c>
      <c r="J174" s="19">
        <v>24</v>
      </c>
      <c r="L174" s="18">
        <v>93</v>
      </c>
      <c r="N174" s="19">
        <v>9</v>
      </c>
      <c r="O174" s="20">
        <f t="shared" si="20"/>
        <v>150</v>
      </c>
      <c r="P174" s="1">
        <f t="shared" si="21"/>
        <v>960</v>
      </c>
      <c r="Q174">
        <f t="shared" si="22"/>
        <v>767</v>
      </c>
      <c r="R174">
        <f t="shared" si="23"/>
        <v>624</v>
      </c>
      <c r="S174">
        <f t="shared" si="24"/>
        <v>298.584</v>
      </c>
      <c r="T174">
        <f t="shared" si="25"/>
        <v>240.768</v>
      </c>
      <c r="U174" s="21">
        <f t="shared" si="26"/>
        <v>0.81355932203389836</v>
      </c>
      <c r="V174" s="21">
        <f t="shared" si="27"/>
        <v>0.80636604774535814</v>
      </c>
      <c r="W174" s="21">
        <f t="shared" si="28"/>
        <v>0.47849999999999998</v>
      </c>
      <c r="X174">
        <f t="shared" si="29"/>
        <v>0.31390873533246416</v>
      </c>
    </row>
    <row r="175" spans="1:24" x14ac:dyDescent="0.3">
      <c r="A175" s="2">
        <v>174</v>
      </c>
      <c r="B175" s="2" t="s">
        <v>4</v>
      </c>
      <c r="C175" s="2">
        <f>Usinage!C175-Usinage!D175-Usinage!E175</f>
        <v>1169</v>
      </c>
      <c r="D175" s="15">
        <v>51</v>
      </c>
      <c r="E175" s="15">
        <v>157</v>
      </c>
      <c r="G175" s="18">
        <v>43</v>
      </c>
      <c r="H175" s="19">
        <v>9</v>
      </c>
      <c r="I175" s="18">
        <v>27</v>
      </c>
      <c r="J175" s="19">
        <v>20</v>
      </c>
      <c r="L175" s="18">
        <v>139</v>
      </c>
      <c r="O175" s="20">
        <f t="shared" si="20"/>
        <v>150</v>
      </c>
      <c r="P175" s="1">
        <f t="shared" si="21"/>
        <v>960</v>
      </c>
      <c r="Q175">
        <f t="shared" si="22"/>
        <v>781</v>
      </c>
      <c r="R175">
        <f t="shared" si="23"/>
        <v>572</v>
      </c>
      <c r="S175">
        <f t="shared" si="24"/>
        <v>308.61600000000004</v>
      </c>
      <c r="T175">
        <f t="shared" si="25"/>
        <v>253.70400000000001</v>
      </c>
      <c r="U175" s="21">
        <f t="shared" si="26"/>
        <v>0.73239436619718312</v>
      </c>
      <c r="V175" s="21">
        <f t="shared" si="27"/>
        <v>0.82207014542343881</v>
      </c>
      <c r="W175" s="21">
        <f t="shared" si="28"/>
        <v>0.53953846153846163</v>
      </c>
      <c r="X175">
        <f t="shared" si="29"/>
        <v>0.32484507042253524</v>
      </c>
    </row>
    <row r="176" spans="1:24" x14ac:dyDescent="0.3">
      <c r="A176" s="2">
        <v>175</v>
      </c>
      <c r="B176" s="2" t="s">
        <v>3</v>
      </c>
      <c r="C176" s="2">
        <f>Usinage!C176-Usinage!D176-Usinage!E176</f>
        <v>1207</v>
      </c>
      <c r="D176" s="15">
        <v>60</v>
      </c>
      <c r="E176" s="15">
        <v>150</v>
      </c>
      <c r="F176" s="18">
        <v>48</v>
      </c>
      <c r="G176" s="18">
        <v>41</v>
      </c>
      <c r="H176" s="19">
        <v>8</v>
      </c>
      <c r="I176" s="18">
        <v>28</v>
      </c>
      <c r="J176" s="19">
        <v>20</v>
      </c>
      <c r="L176" s="18">
        <v>141</v>
      </c>
      <c r="O176" s="20">
        <f t="shared" si="20"/>
        <v>150</v>
      </c>
      <c r="P176" s="1">
        <f t="shared" si="21"/>
        <v>960</v>
      </c>
      <c r="Q176">
        <f t="shared" si="22"/>
        <v>782</v>
      </c>
      <c r="R176">
        <f t="shared" si="23"/>
        <v>524</v>
      </c>
      <c r="S176">
        <f t="shared" si="24"/>
        <v>318.64800000000002</v>
      </c>
      <c r="T176">
        <f t="shared" si="25"/>
        <v>263.20800000000003</v>
      </c>
      <c r="U176" s="21">
        <f t="shared" si="26"/>
        <v>0.67007672634271098</v>
      </c>
      <c r="V176" s="21">
        <f t="shared" si="27"/>
        <v>0.82601491300745655</v>
      </c>
      <c r="W176" s="21">
        <f t="shared" si="28"/>
        <v>0.60810687022900767</v>
      </c>
      <c r="X176">
        <f t="shared" si="29"/>
        <v>0.33658312020460363</v>
      </c>
    </row>
    <row r="177" spans="1:24" x14ac:dyDescent="0.3">
      <c r="A177" s="2">
        <v>176</v>
      </c>
      <c r="B177" s="2" t="s">
        <v>2</v>
      </c>
      <c r="C177" s="2">
        <f>Usinage!C177-Usinage!D177-Usinage!E177</f>
        <v>1094</v>
      </c>
      <c r="D177" s="15">
        <v>59</v>
      </c>
      <c r="E177" s="15">
        <v>144</v>
      </c>
      <c r="F177" s="18">
        <v>31</v>
      </c>
      <c r="G177" s="18">
        <v>33</v>
      </c>
      <c r="H177" s="19">
        <v>10</v>
      </c>
      <c r="I177" s="18">
        <v>30</v>
      </c>
      <c r="J177" s="19">
        <v>24</v>
      </c>
      <c r="L177" s="18">
        <v>118</v>
      </c>
      <c r="N177" s="19">
        <v>10</v>
      </c>
      <c r="O177" s="20">
        <f t="shared" si="20"/>
        <v>150</v>
      </c>
      <c r="P177" s="1">
        <f t="shared" si="21"/>
        <v>960</v>
      </c>
      <c r="Q177">
        <f t="shared" si="22"/>
        <v>766</v>
      </c>
      <c r="R177">
        <f t="shared" si="23"/>
        <v>554</v>
      </c>
      <c r="S177">
        <f t="shared" si="24"/>
        <v>288.81600000000003</v>
      </c>
      <c r="T177">
        <f t="shared" si="25"/>
        <v>235.22400000000002</v>
      </c>
      <c r="U177" s="21">
        <f t="shared" si="26"/>
        <v>0.7232375979112271</v>
      </c>
      <c r="V177" s="21">
        <f t="shared" si="27"/>
        <v>0.81444241316270571</v>
      </c>
      <c r="W177" s="21">
        <f t="shared" si="28"/>
        <v>0.5213285198555957</v>
      </c>
      <c r="X177">
        <f t="shared" si="29"/>
        <v>0.30708093994778068</v>
      </c>
    </row>
    <row r="178" spans="1:24" x14ac:dyDescent="0.3">
      <c r="A178" s="2">
        <v>177</v>
      </c>
      <c r="B178" s="2" t="s">
        <v>3</v>
      </c>
      <c r="C178" s="2">
        <f>Usinage!C178-Usinage!D178-Usinage!E178</f>
        <v>1102</v>
      </c>
      <c r="D178" s="15">
        <v>44</v>
      </c>
      <c r="E178" s="15">
        <v>187</v>
      </c>
      <c r="G178" s="18">
        <v>31</v>
      </c>
      <c r="H178" s="19">
        <v>7</v>
      </c>
      <c r="I178" s="18">
        <v>31</v>
      </c>
      <c r="J178" s="19">
        <v>22</v>
      </c>
      <c r="L178" s="18">
        <v>137</v>
      </c>
      <c r="O178" s="20">
        <f t="shared" si="20"/>
        <v>150</v>
      </c>
      <c r="P178" s="1">
        <f t="shared" si="21"/>
        <v>960</v>
      </c>
      <c r="Q178">
        <f t="shared" si="22"/>
        <v>781</v>
      </c>
      <c r="R178">
        <f t="shared" si="23"/>
        <v>582</v>
      </c>
      <c r="S178">
        <f t="shared" si="24"/>
        <v>290.928</v>
      </c>
      <c r="T178">
        <f t="shared" si="25"/>
        <v>229.94400000000002</v>
      </c>
      <c r="U178" s="21">
        <f t="shared" si="26"/>
        <v>0.74519846350832264</v>
      </c>
      <c r="V178" s="21">
        <f t="shared" si="27"/>
        <v>0.79038112522686021</v>
      </c>
      <c r="W178" s="21">
        <f t="shared" si="28"/>
        <v>0.49987628865979383</v>
      </c>
      <c r="X178">
        <f t="shared" si="29"/>
        <v>0.2944225352112676</v>
      </c>
    </row>
    <row r="179" spans="1:24" x14ac:dyDescent="0.3">
      <c r="A179" s="2">
        <v>178</v>
      </c>
      <c r="B179" s="2" t="s">
        <v>3</v>
      </c>
      <c r="C179" s="2">
        <f>Usinage!C179-Usinage!D179-Usinage!E179</f>
        <v>1189</v>
      </c>
      <c r="D179" s="15">
        <v>41</v>
      </c>
      <c r="E179" s="15">
        <v>150</v>
      </c>
      <c r="F179" s="18">
        <v>48</v>
      </c>
      <c r="G179" s="18">
        <v>38</v>
      </c>
      <c r="H179" s="19">
        <v>7</v>
      </c>
      <c r="I179" s="18">
        <v>29</v>
      </c>
      <c r="J179" s="19">
        <v>22</v>
      </c>
      <c r="L179" s="18">
        <v>145</v>
      </c>
      <c r="N179" s="19">
        <v>6</v>
      </c>
      <c r="O179" s="20">
        <f t="shared" si="20"/>
        <v>150</v>
      </c>
      <c r="P179" s="1">
        <f t="shared" si="21"/>
        <v>960</v>
      </c>
      <c r="Q179">
        <f t="shared" si="22"/>
        <v>775</v>
      </c>
      <c r="R179">
        <f t="shared" si="23"/>
        <v>515</v>
      </c>
      <c r="S179">
        <f t="shared" si="24"/>
        <v>313.89600000000002</v>
      </c>
      <c r="T179">
        <f t="shared" si="25"/>
        <v>263.47200000000004</v>
      </c>
      <c r="U179" s="21">
        <f t="shared" si="26"/>
        <v>0.6645161290322581</v>
      </c>
      <c r="V179" s="21">
        <f t="shared" si="27"/>
        <v>0.83936080740117747</v>
      </c>
      <c r="W179" s="21">
        <f t="shared" si="28"/>
        <v>0.60950679611650493</v>
      </c>
      <c r="X179">
        <f t="shared" si="29"/>
        <v>0.33996387096774205</v>
      </c>
    </row>
    <row r="180" spans="1:24" x14ac:dyDescent="0.3">
      <c r="A180" s="2">
        <v>179</v>
      </c>
      <c r="B180" s="2" t="s">
        <v>5</v>
      </c>
      <c r="C180" s="2">
        <f>Usinage!C180-Usinage!D180-Usinage!E180</f>
        <v>1142</v>
      </c>
      <c r="D180" s="15">
        <v>42</v>
      </c>
      <c r="E180" s="15">
        <v>195</v>
      </c>
      <c r="G180" s="18">
        <v>31</v>
      </c>
      <c r="H180" s="19">
        <v>6</v>
      </c>
      <c r="I180" s="18">
        <v>35</v>
      </c>
      <c r="J180" s="19">
        <v>25</v>
      </c>
      <c r="L180" s="18">
        <v>112</v>
      </c>
      <c r="O180" s="20">
        <f t="shared" si="20"/>
        <v>150</v>
      </c>
      <c r="P180" s="1">
        <f t="shared" si="21"/>
        <v>960</v>
      </c>
      <c r="Q180">
        <f t="shared" si="22"/>
        <v>779</v>
      </c>
      <c r="R180">
        <f t="shared" si="23"/>
        <v>601</v>
      </c>
      <c r="S180">
        <f t="shared" si="24"/>
        <v>301.488</v>
      </c>
      <c r="T180">
        <f t="shared" si="25"/>
        <v>238.92000000000002</v>
      </c>
      <c r="U180" s="21">
        <f t="shared" si="26"/>
        <v>0.77150192554557129</v>
      </c>
      <c r="V180" s="21">
        <f t="shared" si="27"/>
        <v>0.79246935201401048</v>
      </c>
      <c r="W180" s="21">
        <f t="shared" si="28"/>
        <v>0.50164392678868552</v>
      </c>
      <c r="X180">
        <f t="shared" si="29"/>
        <v>0.30670089858793326</v>
      </c>
    </row>
    <row r="181" spans="1:24" x14ac:dyDescent="0.3">
      <c r="A181" s="2">
        <v>180</v>
      </c>
      <c r="B181" s="2" t="s">
        <v>2</v>
      </c>
      <c r="C181" s="2">
        <f>Usinage!C181-Usinage!D181-Usinage!E181</f>
        <v>1093</v>
      </c>
      <c r="D181" s="15">
        <v>49</v>
      </c>
      <c r="E181" s="15">
        <v>147</v>
      </c>
      <c r="F181" s="18">
        <v>40</v>
      </c>
      <c r="G181" s="18">
        <v>36</v>
      </c>
      <c r="H181" s="19">
        <v>6</v>
      </c>
      <c r="I181" s="18">
        <v>29</v>
      </c>
      <c r="J181" s="19">
        <v>21</v>
      </c>
      <c r="L181" s="18">
        <v>125</v>
      </c>
      <c r="O181" s="20">
        <f t="shared" si="20"/>
        <v>150</v>
      </c>
      <c r="P181" s="1">
        <f t="shared" si="21"/>
        <v>960</v>
      </c>
      <c r="Q181">
        <f t="shared" si="22"/>
        <v>783</v>
      </c>
      <c r="R181">
        <f t="shared" si="23"/>
        <v>553</v>
      </c>
      <c r="S181">
        <f t="shared" si="24"/>
        <v>288.55200000000002</v>
      </c>
      <c r="T181">
        <f t="shared" si="25"/>
        <v>236.80800000000002</v>
      </c>
      <c r="U181" s="21">
        <f t="shared" si="26"/>
        <v>0.70625798212005109</v>
      </c>
      <c r="V181" s="21">
        <f t="shared" si="27"/>
        <v>0.82067703568161021</v>
      </c>
      <c r="W181" s="21">
        <f t="shared" si="28"/>
        <v>0.52179385171790238</v>
      </c>
      <c r="X181">
        <f t="shared" si="29"/>
        <v>0.3024367816091954</v>
      </c>
    </row>
    <row r="182" spans="1:24" x14ac:dyDescent="0.3">
      <c r="A182" s="2">
        <v>181</v>
      </c>
      <c r="B182" s="2" t="s">
        <v>3</v>
      </c>
      <c r="C182" s="2">
        <f>Usinage!C182-Usinage!D182-Usinage!E182</f>
        <v>1165</v>
      </c>
      <c r="D182" s="15">
        <v>59</v>
      </c>
      <c r="E182" s="15">
        <v>157</v>
      </c>
      <c r="F182" s="18">
        <v>33</v>
      </c>
      <c r="G182" s="18">
        <v>42</v>
      </c>
      <c r="H182" s="19">
        <v>7</v>
      </c>
      <c r="I182" s="18">
        <v>36</v>
      </c>
      <c r="J182" s="19">
        <v>23</v>
      </c>
      <c r="L182" s="18">
        <v>116</v>
      </c>
      <c r="O182" s="20">
        <f t="shared" si="20"/>
        <v>150</v>
      </c>
      <c r="P182" s="1">
        <f t="shared" si="21"/>
        <v>960</v>
      </c>
      <c r="Q182">
        <f t="shared" si="22"/>
        <v>780</v>
      </c>
      <c r="R182">
        <f t="shared" si="23"/>
        <v>553</v>
      </c>
      <c r="S182">
        <f t="shared" si="24"/>
        <v>307.56</v>
      </c>
      <c r="T182">
        <f t="shared" si="25"/>
        <v>250.536</v>
      </c>
      <c r="U182" s="21">
        <f t="shared" si="26"/>
        <v>0.70897435897435901</v>
      </c>
      <c r="V182" s="21">
        <f t="shared" si="27"/>
        <v>0.81459227467811157</v>
      </c>
      <c r="W182" s="21">
        <f t="shared" si="28"/>
        <v>0.55616636528028929</v>
      </c>
      <c r="X182">
        <f t="shared" si="29"/>
        <v>0.32119999999999999</v>
      </c>
    </row>
    <row r="183" spans="1:24" x14ac:dyDescent="0.3">
      <c r="A183" s="2">
        <v>182</v>
      </c>
      <c r="B183" s="2" t="s">
        <v>4</v>
      </c>
      <c r="C183" s="2">
        <f>Usinage!C183-Usinage!D183-Usinage!E183</f>
        <v>977</v>
      </c>
      <c r="D183" s="15">
        <v>43</v>
      </c>
      <c r="E183" s="15">
        <v>150</v>
      </c>
      <c r="G183" s="18">
        <v>25</v>
      </c>
      <c r="H183" s="19">
        <v>7</v>
      </c>
      <c r="I183" s="18">
        <v>39</v>
      </c>
      <c r="J183" s="19">
        <v>23</v>
      </c>
      <c r="L183" s="18">
        <v>113</v>
      </c>
      <c r="N183" s="19">
        <v>6</v>
      </c>
      <c r="O183" s="20">
        <f t="shared" si="20"/>
        <v>150</v>
      </c>
      <c r="P183" s="1">
        <f t="shared" si="21"/>
        <v>960</v>
      </c>
      <c r="Q183">
        <f t="shared" si="22"/>
        <v>774</v>
      </c>
      <c r="R183">
        <f t="shared" si="23"/>
        <v>597</v>
      </c>
      <c r="S183">
        <f t="shared" si="24"/>
        <v>257.928</v>
      </c>
      <c r="T183">
        <f t="shared" si="25"/>
        <v>206.976</v>
      </c>
      <c r="U183" s="21">
        <f t="shared" si="26"/>
        <v>0.77131782945736438</v>
      </c>
      <c r="V183" s="21">
        <f t="shared" si="27"/>
        <v>0.80245649948822928</v>
      </c>
      <c r="W183" s="21">
        <f t="shared" si="28"/>
        <v>0.4320402010050251</v>
      </c>
      <c r="X183">
        <f t="shared" si="29"/>
        <v>0.26741085271317827</v>
      </c>
    </row>
    <row r="184" spans="1:24" x14ac:dyDescent="0.3">
      <c r="A184" s="2">
        <v>183</v>
      </c>
      <c r="B184" s="2" t="s">
        <v>3</v>
      </c>
      <c r="C184" s="2">
        <f>Usinage!C184-Usinage!D184-Usinage!E184</f>
        <v>1024</v>
      </c>
      <c r="D184" s="15">
        <v>50</v>
      </c>
      <c r="E184" s="15">
        <v>161</v>
      </c>
      <c r="G184" s="18">
        <v>38</v>
      </c>
      <c r="H184" s="19">
        <v>7</v>
      </c>
      <c r="I184" s="18">
        <v>27</v>
      </c>
      <c r="J184" s="19">
        <v>20</v>
      </c>
      <c r="L184" s="18">
        <v>129</v>
      </c>
      <c r="O184" s="20">
        <f t="shared" si="20"/>
        <v>150</v>
      </c>
      <c r="P184" s="1">
        <f t="shared" si="21"/>
        <v>960</v>
      </c>
      <c r="Q184">
        <f t="shared" si="22"/>
        <v>783</v>
      </c>
      <c r="R184">
        <f t="shared" si="23"/>
        <v>589</v>
      </c>
      <c r="S184">
        <f t="shared" si="24"/>
        <v>270.33600000000001</v>
      </c>
      <c r="T184">
        <f t="shared" si="25"/>
        <v>214.63200000000001</v>
      </c>
      <c r="U184" s="21">
        <f t="shared" si="26"/>
        <v>0.7522349936143039</v>
      </c>
      <c r="V184" s="21">
        <f t="shared" si="27"/>
        <v>0.7939453125</v>
      </c>
      <c r="W184" s="21">
        <f t="shared" si="28"/>
        <v>0.45897453310696096</v>
      </c>
      <c r="X184">
        <f t="shared" si="29"/>
        <v>0.27411494252873558</v>
      </c>
    </row>
    <row r="185" spans="1:24" x14ac:dyDescent="0.3">
      <c r="A185" s="2">
        <v>184</v>
      </c>
      <c r="B185" s="2" t="s">
        <v>5</v>
      </c>
      <c r="C185" s="2">
        <f>Usinage!C185-Usinage!D185-Usinage!E185</f>
        <v>1040</v>
      </c>
      <c r="D185" s="15">
        <v>59</v>
      </c>
      <c r="E185" s="15">
        <v>170</v>
      </c>
      <c r="F185" s="18">
        <v>30</v>
      </c>
      <c r="G185" s="18">
        <v>36</v>
      </c>
      <c r="H185" s="19">
        <v>5</v>
      </c>
      <c r="I185" s="18">
        <v>29</v>
      </c>
      <c r="J185" s="19">
        <v>21</v>
      </c>
      <c r="L185" s="18">
        <v>93</v>
      </c>
      <c r="O185" s="20">
        <f t="shared" si="20"/>
        <v>150</v>
      </c>
      <c r="P185" s="1">
        <f t="shared" si="21"/>
        <v>960</v>
      </c>
      <c r="Q185">
        <f t="shared" si="22"/>
        <v>784</v>
      </c>
      <c r="R185">
        <f t="shared" si="23"/>
        <v>596</v>
      </c>
      <c r="S185">
        <f t="shared" si="24"/>
        <v>274.56</v>
      </c>
      <c r="T185">
        <f t="shared" si="25"/>
        <v>214.10400000000001</v>
      </c>
      <c r="U185" s="21">
        <f t="shared" si="26"/>
        <v>0.76020408163265307</v>
      </c>
      <c r="V185" s="21">
        <f t="shared" si="27"/>
        <v>0.77980769230769231</v>
      </c>
      <c r="W185" s="21">
        <f t="shared" si="28"/>
        <v>0.46067114093959732</v>
      </c>
      <c r="X185">
        <f t="shared" si="29"/>
        <v>0.27309183673469384</v>
      </c>
    </row>
    <row r="186" spans="1:24" x14ac:dyDescent="0.3">
      <c r="A186" s="2">
        <v>185</v>
      </c>
      <c r="B186" s="2" t="s">
        <v>3</v>
      </c>
      <c r="C186" s="2">
        <f>Usinage!C186-Usinage!D186-Usinage!E186</f>
        <v>1019</v>
      </c>
      <c r="D186" s="15">
        <v>42</v>
      </c>
      <c r="E186" s="15">
        <v>161</v>
      </c>
      <c r="G186" s="18">
        <v>23</v>
      </c>
      <c r="H186" s="19">
        <v>5</v>
      </c>
      <c r="I186" s="18">
        <v>39</v>
      </c>
      <c r="J186" s="19">
        <v>25</v>
      </c>
      <c r="L186" s="18">
        <v>114</v>
      </c>
      <c r="N186" s="19">
        <v>10</v>
      </c>
      <c r="O186" s="20">
        <f t="shared" si="20"/>
        <v>150</v>
      </c>
      <c r="P186" s="1">
        <f t="shared" si="21"/>
        <v>960</v>
      </c>
      <c r="Q186">
        <f t="shared" si="22"/>
        <v>770</v>
      </c>
      <c r="R186">
        <f t="shared" si="23"/>
        <v>594</v>
      </c>
      <c r="S186">
        <f t="shared" si="24"/>
        <v>269.01600000000002</v>
      </c>
      <c r="T186">
        <f t="shared" si="25"/>
        <v>215.42400000000001</v>
      </c>
      <c r="U186" s="21">
        <f t="shared" si="26"/>
        <v>0.77142857142857146</v>
      </c>
      <c r="V186" s="21">
        <f t="shared" si="27"/>
        <v>0.8007850834151129</v>
      </c>
      <c r="W186" s="21">
        <f t="shared" si="28"/>
        <v>0.4528888888888889</v>
      </c>
      <c r="X186">
        <f t="shared" si="29"/>
        <v>0.27977142857142856</v>
      </c>
    </row>
    <row r="187" spans="1:24" x14ac:dyDescent="0.3">
      <c r="A187" s="2">
        <v>186</v>
      </c>
      <c r="B187" s="2" t="s">
        <v>5</v>
      </c>
      <c r="C187" s="2">
        <f>Usinage!C187-Usinage!D187-Usinage!E187</f>
        <v>1078</v>
      </c>
      <c r="D187" s="15">
        <v>54</v>
      </c>
      <c r="E187" s="15">
        <v>167</v>
      </c>
      <c r="G187" s="18">
        <v>42</v>
      </c>
      <c r="H187" s="19">
        <v>6</v>
      </c>
      <c r="I187" s="18">
        <v>23</v>
      </c>
      <c r="J187" s="19">
        <v>25</v>
      </c>
      <c r="L187" s="18">
        <v>135</v>
      </c>
      <c r="O187" s="20">
        <f t="shared" si="20"/>
        <v>150</v>
      </c>
      <c r="P187" s="1">
        <f t="shared" si="21"/>
        <v>960</v>
      </c>
      <c r="Q187">
        <f t="shared" si="22"/>
        <v>779</v>
      </c>
      <c r="R187">
        <f t="shared" si="23"/>
        <v>579</v>
      </c>
      <c r="S187">
        <f t="shared" si="24"/>
        <v>284.59200000000004</v>
      </c>
      <c r="T187">
        <f t="shared" si="25"/>
        <v>226.24800000000002</v>
      </c>
      <c r="U187" s="21">
        <f t="shared" si="26"/>
        <v>0.74326059050064186</v>
      </c>
      <c r="V187" s="21">
        <f t="shared" si="27"/>
        <v>0.79499072356215217</v>
      </c>
      <c r="W187" s="21">
        <f t="shared" si="28"/>
        <v>0.49152331606217625</v>
      </c>
      <c r="X187">
        <f t="shared" si="29"/>
        <v>0.29043388960205396</v>
      </c>
    </row>
    <row r="188" spans="1:24" x14ac:dyDescent="0.3">
      <c r="A188" s="2">
        <v>187</v>
      </c>
      <c r="B188" s="2" t="s">
        <v>2</v>
      </c>
      <c r="C188" s="2">
        <f>Usinage!C188-Usinage!D188-Usinage!E188</f>
        <v>967</v>
      </c>
      <c r="D188" s="15">
        <v>45</v>
      </c>
      <c r="E188" s="15">
        <v>188</v>
      </c>
      <c r="F188" s="18">
        <v>31</v>
      </c>
      <c r="G188" s="18">
        <v>30</v>
      </c>
      <c r="H188" s="19">
        <v>6</v>
      </c>
      <c r="I188" s="18">
        <v>36</v>
      </c>
      <c r="J188" s="19">
        <v>24</v>
      </c>
      <c r="L188" s="18">
        <v>106</v>
      </c>
      <c r="N188" s="19">
        <v>6</v>
      </c>
      <c r="O188" s="20">
        <f t="shared" si="20"/>
        <v>150</v>
      </c>
      <c r="P188" s="1">
        <f t="shared" si="21"/>
        <v>960</v>
      </c>
      <c r="Q188">
        <f t="shared" si="22"/>
        <v>774</v>
      </c>
      <c r="R188">
        <f t="shared" si="23"/>
        <v>571</v>
      </c>
      <c r="S188">
        <f t="shared" si="24"/>
        <v>255.28800000000001</v>
      </c>
      <c r="T188">
        <f t="shared" si="25"/>
        <v>193.77600000000001</v>
      </c>
      <c r="U188" s="21">
        <f t="shared" si="26"/>
        <v>0.73772609819121449</v>
      </c>
      <c r="V188" s="21">
        <f t="shared" si="27"/>
        <v>0.75904860392967943</v>
      </c>
      <c r="W188" s="21">
        <f t="shared" si="28"/>
        <v>0.44708931698774085</v>
      </c>
      <c r="X188">
        <f t="shared" si="29"/>
        <v>0.25035658914728687</v>
      </c>
    </row>
    <row r="189" spans="1:24" x14ac:dyDescent="0.3">
      <c r="A189" s="2">
        <v>188</v>
      </c>
      <c r="B189" s="2" t="s">
        <v>4</v>
      </c>
      <c r="C189" s="2">
        <f>Usinage!C189-Usinage!D189-Usinage!E189</f>
        <v>1078</v>
      </c>
      <c r="D189" s="15">
        <v>40</v>
      </c>
      <c r="E189" s="15">
        <v>164</v>
      </c>
      <c r="G189" s="18">
        <v>48</v>
      </c>
      <c r="H189" s="19">
        <v>5</v>
      </c>
      <c r="I189" s="18">
        <v>30</v>
      </c>
      <c r="J189" s="19">
        <v>25</v>
      </c>
      <c r="L189" s="18">
        <v>90</v>
      </c>
      <c r="O189" s="20">
        <f t="shared" si="20"/>
        <v>150</v>
      </c>
      <c r="P189" s="1">
        <f t="shared" si="21"/>
        <v>960</v>
      </c>
      <c r="Q189">
        <f t="shared" si="22"/>
        <v>780</v>
      </c>
      <c r="R189">
        <f t="shared" si="23"/>
        <v>612</v>
      </c>
      <c r="S189">
        <f t="shared" si="24"/>
        <v>284.59200000000004</v>
      </c>
      <c r="T189">
        <f t="shared" si="25"/>
        <v>230.73600000000002</v>
      </c>
      <c r="U189" s="21">
        <f t="shared" si="26"/>
        <v>0.7846153846153846</v>
      </c>
      <c r="V189" s="21">
        <f t="shared" si="27"/>
        <v>0.81076066790352508</v>
      </c>
      <c r="W189" s="21">
        <f t="shared" si="28"/>
        <v>0.46501960784313734</v>
      </c>
      <c r="X189">
        <f t="shared" si="29"/>
        <v>0.2958153846153847</v>
      </c>
    </row>
    <row r="190" spans="1:24" x14ac:dyDescent="0.3">
      <c r="A190" s="2">
        <v>189</v>
      </c>
      <c r="B190" s="2" t="s">
        <v>3</v>
      </c>
      <c r="C190" s="2">
        <f>Usinage!C190-Usinage!D190-Usinage!E190</f>
        <v>879</v>
      </c>
      <c r="D190" s="15">
        <v>51</v>
      </c>
      <c r="E190" s="15">
        <v>175</v>
      </c>
      <c r="F190" s="18">
        <v>43</v>
      </c>
      <c r="G190" s="18">
        <v>42</v>
      </c>
      <c r="H190" s="19">
        <v>8</v>
      </c>
      <c r="I190" s="18">
        <v>18</v>
      </c>
      <c r="J190" s="19">
        <v>21</v>
      </c>
      <c r="L190" s="18">
        <v>108</v>
      </c>
      <c r="O190" s="20">
        <f t="shared" si="20"/>
        <v>150</v>
      </c>
      <c r="P190" s="1">
        <f t="shared" si="21"/>
        <v>960</v>
      </c>
      <c r="Q190">
        <f t="shared" si="22"/>
        <v>781</v>
      </c>
      <c r="R190">
        <f t="shared" si="23"/>
        <v>570</v>
      </c>
      <c r="S190">
        <f t="shared" si="24"/>
        <v>232.05600000000001</v>
      </c>
      <c r="T190">
        <f t="shared" si="25"/>
        <v>172.392</v>
      </c>
      <c r="U190" s="21">
        <f t="shared" si="26"/>
        <v>0.72983354673495515</v>
      </c>
      <c r="V190" s="21">
        <f t="shared" si="27"/>
        <v>0.74288964732650742</v>
      </c>
      <c r="W190" s="21">
        <f t="shared" si="28"/>
        <v>0.40711578947368421</v>
      </c>
      <c r="X190">
        <f t="shared" si="29"/>
        <v>0.22073239436619718</v>
      </c>
    </row>
    <row r="191" spans="1:24" x14ac:dyDescent="0.3">
      <c r="A191" s="2">
        <v>190</v>
      </c>
      <c r="B191" s="2" t="s">
        <v>5</v>
      </c>
      <c r="C191" s="2">
        <f>Usinage!C191-Usinage!D191-Usinage!E191</f>
        <v>1074</v>
      </c>
      <c r="D191" s="15">
        <v>53</v>
      </c>
      <c r="E191" s="15">
        <v>142</v>
      </c>
      <c r="G191" s="18">
        <v>37</v>
      </c>
      <c r="H191" s="19">
        <v>10</v>
      </c>
      <c r="I191" s="18">
        <v>43</v>
      </c>
      <c r="J191" s="19">
        <v>24</v>
      </c>
      <c r="L191" s="18">
        <v>112</v>
      </c>
      <c r="N191" s="19">
        <v>5</v>
      </c>
      <c r="O191" s="20">
        <f t="shared" si="20"/>
        <v>150</v>
      </c>
      <c r="P191" s="1">
        <f t="shared" si="21"/>
        <v>960</v>
      </c>
      <c r="Q191">
        <f t="shared" si="22"/>
        <v>771</v>
      </c>
      <c r="R191">
        <f t="shared" si="23"/>
        <v>579</v>
      </c>
      <c r="S191">
        <f t="shared" si="24"/>
        <v>283.536</v>
      </c>
      <c r="T191">
        <f t="shared" si="25"/>
        <v>232.05600000000001</v>
      </c>
      <c r="U191" s="21">
        <f t="shared" si="26"/>
        <v>0.75097276264591439</v>
      </c>
      <c r="V191" s="21">
        <f t="shared" si="27"/>
        <v>0.81843575418994419</v>
      </c>
      <c r="W191" s="21">
        <f t="shared" si="28"/>
        <v>0.489699481865285</v>
      </c>
      <c r="X191">
        <f t="shared" si="29"/>
        <v>0.30098054474708175</v>
      </c>
    </row>
    <row r="192" spans="1:24" x14ac:dyDescent="0.3">
      <c r="A192" s="2">
        <v>191</v>
      </c>
      <c r="B192" s="2" t="s">
        <v>4</v>
      </c>
      <c r="C192" s="2">
        <f>Usinage!C192-Usinage!D192-Usinage!E192</f>
        <v>1046</v>
      </c>
      <c r="D192" s="15">
        <v>48</v>
      </c>
      <c r="E192" s="15">
        <v>171</v>
      </c>
      <c r="G192" s="18">
        <v>29</v>
      </c>
      <c r="H192" s="19">
        <v>8</v>
      </c>
      <c r="I192" s="18">
        <v>26</v>
      </c>
      <c r="J192" s="19">
        <v>25</v>
      </c>
      <c r="L192" s="18">
        <v>128</v>
      </c>
      <c r="O192" s="20">
        <f t="shared" si="20"/>
        <v>150</v>
      </c>
      <c r="P192" s="1">
        <f t="shared" si="21"/>
        <v>960</v>
      </c>
      <c r="Q192">
        <f t="shared" si="22"/>
        <v>777</v>
      </c>
      <c r="R192">
        <f t="shared" si="23"/>
        <v>594</v>
      </c>
      <c r="S192">
        <f t="shared" si="24"/>
        <v>276.14400000000001</v>
      </c>
      <c r="T192">
        <f t="shared" si="25"/>
        <v>218.328</v>
      </c>
      <c r="U192" s="21">
        <f t="shared" si="26"/>
        <v>0.76447876447876451</v>
      </c>
      <c r="V192" s="21">
        <f t="shared" si="27"/>
        <v>0.79063097514340341</v>
      </c>
      <c r="W192" s="21">
        <f t="shared" si="28"/>
        <v>0.46488888888888891</v>
      </c>
      <c r="X192">
        <f t="shared" si="29"/>
        <v>0.28098841698841698</v>
      </c>
    </row>
    <row r="193" spans="1:24" x14ac:dyDescent="0.3">
      <c r="A193" s="2">
        <v>192</v>
      </c>
      <c r="B193" s="2" t="s">
        <v>2</v>
      </c>
      <c r="C193" s="2">
        <f>Usinage!C193-Usinage!D193-Usinage!E193</f>
        <v>1144</v>
      </c>
      <c r="D193" s="15">
        <v>55</v>
      </c>
      <c r="E193" s="15">
        <v>193</v>
      </c>
      <c r="F193" s="18">
        <v>42</v>
      </c>
      <c r="G193" s="18">
        <v>40</v>
      </c>
      <c r="H193" s="19">
        <v>10</v>
      </c>
      <c r="I193" s="18">
        <v>37</v>
      </c>
      <c r="J193" s="19">
        <v>22</v>
      </c>
      <c r="L193" s="18">
        <v>128</v>
      </c>
      <c r="N193" s="19">
        <v>5</v>
      </c>
      <c r="O193" s="20">
        <f t="shared" si="20"/>
        <v>150</v>
      </c>
      <c r="P193" s="1">
        <f t="shared" si="21"/>
        <v>960</v>
      </c>
      <c r="Q193">
        <f t="shared" si="22"/>
        <v>773</v>
      </c>
      <c r="R193">
        <f t="shared" si="23"/>
        <v>526</v>
      </c>
      <c r="S193">
        <f t="shared" si="24"/>
        <v>302.01600000000002</v>
      </c>
      <c r="T193">
        <f t="shared" si="25"/>
        <v>236.54400000000001</v>
      </c>
      <c r="U193" s="21">
        <f t="shared" si="26"/>
        <v>0.68046571798188871</v>
      </c>
      <c r="V193" s="21">
        <f t="shared" si="27"/>
        <v>0.78321678321678323</v>
      </c>
      <c r="W193" s="21">
        <f t="shared" si="28"/>
        <v>0.57417490494296586</v>
      </c>
      <c r="X193">
        <f t="shared" si="29"/>
        <v>0.30600776196636487</v>
      </c>
    </row>
    <row r="194" spans="1:24" x14ac:dyDescent="0.3">
      <c r="A194" s="2">
        <v>193</v>
      </c>
      <c r="B194" s="2" t="s">
        <v>2</v>
      </c>
      <c r="C194" s="2">
        <f>Usinage!C194-Usinage!D194-Usinage!E194</f>
        <v>1107</v>
      </c>
      <c r="D194" s="15">
        <v>50</v>
      </c>
      <c r="E194" s="15">
        <v>162</v>
      </c>
      <c r="G194" s="18">
        <v>42</v>
      </c>
      <c r="H194" s="19">
        <v>5</v>
      </c>
      <c r="I194" s="18">
        <v>24</v>
      </c>
      <c r="J194" s="19">
        <v>22</v>
      </c>
      <c r="L194" s="18">
        <v>116</v>
      </c>
      <c r="O194" s="20">
        <f t="shared" si="20"/>
        <v>150</v>
      </c>
      <c r="P194" s="1">
        <f t="shared" si="21"/>
        <v>960</v>
      </c>
      <c r="Q194">
        <f t="shared" si="22"/>
        <v>783</v>
      </c>
      <c r="R194">
        <f t="shared" si="23"/>
        <v>601</v>
      </c>
      <c r="S194">
        <f t="shared" si="24"/>
        <v>292.24799999999999</v>
      </c>
      <c r="T194">
        <f t="shared" si="25"/>
        <v>236.28</v>
      </c>
      <c r="U194" s="21">
        <f t="shared" si="26"/>
        <v>0.76756066411238821</v>
      </c>
      <c r="V194" s="21">
        <f t="shared" si="27"/>
        <v>0.8084914182475158</v>
      </c>
      <c r="W194" s="21">
        <f t="shared" si="28"/>
        <v>0.48626955074875206</v>
      </c>
      <c r="X194">
        <f t="shared" si="29"/>
        <v>0.30176245210727964</v>
      </c>
    </row>
    <row r="195" spans="1:24" x14ac:dyDescent="0.3">
      <c r="A195" s="2">
        <v>194</v>
      </c>
      <c r="B195" s="2" t="s">
        <v>2</v>
      </c>
      <c r="C195" s="2">
        <f>Usinage!C195-Usinage!D195-Usinage!E195</f>
        <v>1174</v>
      </c>
      <c r="D195" s="15">
        <v>43</v>
      </c>
      <c r="E195" s="15">
        <v>164</v>
      </c>
      <c r="G195" s="18">
        <v>28</v>
      </c>
      <c r="H195" s="19">
        <v>7</v>
      </c>
      <c r="I195" s="18">
        <v>31</v>
      </c>
      <c r="J195" s="19">
        <v>24</v>
      </c>
      <c r="L195" s="18">
        <v>133</v>
      </c>
      <c r="O195" s="20">
        <f t="shared" ref="O195:O251" si="30">37500/250</f>
        <v>150</v>
      </c>
      <c r="P195" s="1">
        <f t="shared" ref="P195:P251" si="31">4000*60/250</f>
        <v>960</v>
      </c>
      <c r="Q195">
        <f t="shared" ref="Q195:Q251" si="32">P195-H195-J195-M195-N195-O195</f>
        <v>779</v>
      </c>
      <c r="R195">
        <f t="shared" ref="R195:R251" si="33">Q195-F195-G195-I195-K195-L195</f>
        <v>587</v>
      </c>
      <c r="S195">
        <f t="shared" ref="S195:S251" si="34">C195*0.264</f>
        <v>309.93600000000004</v>
      </c>
      <c r="T195">
        <f t="shared" ref="T195:T251" si="35">(C195-D195-E195)*0.264</f>
        <v>255.28800000000001</v>
      </c>
      <c r="U195" s="21">
        <f t="shared" ref="U195:U251" si="36">R195/Q195</f>
        <v>0.75353016688061614</v>
      </c>
      <c r="V195" s="21">
        <f t="shared" ref="V195:V251" si="37">(C195-D195-E195)/C195</f>
        <v>0.82367972742759799</v>
      </c>
      <c r="W195" s="21">
        <f t="shared" ref="W195:W251" si="38">S195/R195</f>
        <v>0.52800000000000002</v>
      </c>
      <c r="X195">
        <f t="shared" ref="X195:X251" si="39">U195*V195*W195</f>
        <v>0.32771245186136078</v>
      </c>
    </row>
    <row r="196" spans="1:24" x14ac:dyDescent="0.3">
      <c r="A196" s="2">
        <v>195</v>
      </c>
      <c r="B196" s="2" t="s">
        <v>4</v>
      </c>
      <c r="C196" s="2">
        <f>Usinage!C196-Usinage!D196-Usinage!E196</f>
        <v>1008</v>
      </c>
      <c r="D196" s="15">
        <v>50</v>
      </c>
      <c r="E196" s="15">
        <v>201</v>
      </c>
      <c r="F196" s="18">
        <v>31</v>
      </c>
      <c r="G196" s="18">
        <v>22</v>
      </c>
      <c r="H196" s="19">
        <v>8</v>
      </c>
      <c r="I196" s="18">
        <v>36</v>
      </c>
      <c r="J196" s="19">
        <v>25</v>
      </c>
      <c r="L196" s="18">
        <v>102</v>
      </c>
      <c r="N196" s="19">
        <v>9</v>
      </c>
      <c r="O196" s="20">
        <f t="shared" si="30"/>
        <v>150</v>
      </c>
      <c r="P196" s="1">
        <f t="shared" si="31"/>
        <v>960</v>
      </c>
      <c r="Q196">
        <f t="shared" si="32"/>
        <v>768</v>
      </c>
      <c r="R196">
        <f t="shared" si="33"/>
        <v>577</v>
      </c>
      <c r="S196">
        <f t="shared" si="34"/>
        <v>266.11200000000002</v>
      </c>
      <c r="T196">
        <f t="shared" si="35"/>
        <v>199.84800000000001</v>
      </c>
      <c r="U196" s="21">
        <f t="shared" si="36"/>
        <v>0.75130208333333337</v>
      </c>
      <c r="V196" s="21">
        <f t="shared" si="37"/>
        <v>0.75099206349206349</v>
      </c>
      <c r="W196" s="21">
        <f t="shared" si="38"/>
        <v>0.46119930675909881</v>
      </c>
      <c r="X196">
        <f t="shared" si="39"/>
        <v>0.26021875000000005</v>
      </c>
    </row>
    <row r="197" spans="1:24" x14ac:dyDescent="0.3">
      <c r="A197" s="2">
        <v>196</v>
      </c>
      <c r="B197" s="2" t="s">
        <v>4</v>
      </c>
      <c r="C197" s="2">
        <f>Usinage!C197-Usinage!D197-Usinage!E197</f>
        <v>1127</v>
      </c>
      <c r="D197" s="15">
        <v>40</v>
      </c>
      <c r="E197" s="15">
        <v>156</v>
      </c>
      <c r="G197" s="18">
        <v>32</v>
      </c>
      <c r="H197" s="19">
        <v>5</v>
      </c>
      <c r="I197" s="18">
        <v>19</v>
      </c>
      <c r="J197" s="19">
        <v>23</v>
      </c>
      <c r="L197" s="18">
        <v>138</v>
      </c>
      <c r="O197" s="20">
        <f t="shared" si="30"/>
        <v>150</v>
      </c>
      <c r="P197" s="1">
        <f t="shared" si="31"/>
        <v>960</v>
      </c>
      <c r="Q197">
        <f t="shared" si="32"/>
        <v>782</v>
      </c>
      <c r="R197">
        <f t="shared" si="33"/>
        <v>593</v>
      </c>
      <c r="S197">
        <f t="shared" si="34"/>
        <v>297.52800000000002</v>
      </c>
      <c r="T197">
        <f t="shared" si="35"/>
        <v>245.78400000000002</v>
      </c>
      <c r="U197" s="21">
        <f t="shared" si="36"/>
        <v>0.75831202046035806</v>
      </c>
      <c r="V197" s="21">
        <f t="shared" si="37"/>
        <v>0.82608695652173914</v>
      </c>
      <c r="W197" s="21">
        <f t="shared" si="38"/>
        <v>0.50173355817875209</v>
      </c>
      <c r="X197">
        <f t="shared" si="39"/>
        <v>0.31430179028132993</v>
      </c>
    </row>
    <row r="198" spans="1:24" x14ac:dyDescent="0.3">
      <c r="A198" s="2">
        <v>197</v>
      </c>
      <c r="B198" s="2" t="s">
        <v>4</v>
      </c>
      <c r="C198" s="2">
        <f>Usinage!C198-Usinage!D198-Usinage!E198</f>
        <v>936</v>
      </c>
      <c r="D198" s="15">
        <v>60</v>
      </c>
      <c r="E198" s="15">
        <v>190</v>
      </c>
      <c r="F198" s="18">
        <v>42</v>
      </c>
      <c r="G198" s="18">
        <v>26</v>
      </c>
      <c r="H198" s="19">
        <v>10</v>
      </c>
      <c r="I198" s="18">
        <v>38</v>
      </c>
      <c r="J198" s="19">
        <v>20</v>
      </c>
      <c r="L198" s="18">
        <v>110</v>
      </c>
      <c r="N198" s="19">
        <v>10</v>
      </c>
      <c r="O198" s="20">
        <f t="shared" si="30"/>
        <v>150</v>
      </c>
      <c r="P198" s="1">
        <f t="shared" si="31"/>
        <v>960</v>
      </c>
      <c r="Q198">
        <f t="shared" si="32"/>
        <v>770</v>
      </c>
      <c r="R198">
        <f t="shared" si="33"/>
        <v>554</v>
      </c>
      <c r="S198">
        <f t="shared" si="34"/>
        <v>247.10400000000001</v>
      </c>
      <c r="T198">
        <f t="shared" si="35"/>
        <v>181.10400000000001</v>
      </c>
      <c r="U198" s="21">
        <f t="shared" si="36"/>
        <v>0.7194805194805195</v>
      </c>
      <c r="V198" s="21">
        <f t="shared" si="37"/>
        <v>0.73290598290598286</v>
      </c>
      <c r="W198" s="21">
        <f t="shared" si="38"/>
        <v>0.44603610108303249</v>
      </c>
      <c r="X198">
        <f t="shared" si="39"/>
        <v>0.23519999999999999</v>
      </c>
    </row>
    <row r="199" spans="1:24" x14ac:dyDescent="0.3">
      <c r="A199" s="2">
        <v>198</v>
      </c>
      <c r="B199" s="2" t="s">
        <v>3</v>
      </c>
      <c r="C199" s="2">
        <f>Usinage!C199-Usinage!D199-Usinage!E199</f>
        <v>1078</v>
      </c>
      <c r="D199" s="15">
        <v>44</v>
      </c>
      <c r="E199" s="15">
        <v>154</v>
      </c>
      <c r="G199" s="18">
        <v>44</v>
      </c>
      <c r="H199" s="19">
        <v>9</v>
      </c>
      <c r="I199" s="18">
        <v>39</v>
      </c>
      <c r="J199" s="19">
        <v>25</v>
      </c>
      <c r="L199" s="18">
        <v>127</v>
      </c>
      <c r="O199" s="20">
        <f t="shared" si="30"/>
        <v>150</v>
      </c>
      <c r="P199" s="1">
        <f t="shared" si="31"/>
        <v>960</v>
      </c>
      <c r="Q199">
        <f t="shared" si="32"/>
        <v>776</v>
      </c>
      <c r="R199">
        <f t="shared" si="33"/>
        <v>566</v>
      </c>
      <c r="S199">
        <f t="shared" si="34"/>
        <v>284.59200000000004</v>
      </c>
      <c r="T199">
        <f t="shared" si="35"/>
        <v>232.32000000000002</v>
      </c>
      <c r="U199" s="21">
        <f t="shared" si="36"/>
        <v>0.72938144329896903</v>
      </c>
      <c r="V199" s="21">
        <f t="shared" si="37"/>
        <v>0.81632653061224492</v>
      </c>
      <c r="W199" s="21">
        <f t="shared" si="38"/>
        <v>0.50281272084805662</v>
      </c>
      <c r="X199">
        <f t="shared" si="39"/>
        <v>0.29938144329896915</v>
      </c>
    </row>
    <row r="200" spans="1:24" x14ac:dyDescent="0.3">
      <c r="A200" s="2">
        <v>199</v>
      </c>
      <c r="B200" s="2" t="s">
        <v>2</v>
      </c>
      <c r="C200" s="2">
        <f>Usinage!C200-Usinage!D200-Usinage!E200</f>
        <v>1170</v>
      </c>
      <c r="D200" s="15">
        <v>45</v>
      </c>
      <c r="E200" s="15">
        <v>138</v>
      </c>
      <c r="G200" s="18">
        <v>30</v>
      </c>
      <c r="H200" s="19">
        <v>7</v>
      </c>
      <c r="I200" s="18">
        <v>20</v>
      </c>
      <c r="J200" s="19">
        <v>23</v>
      </c>
      <c r="L200" s="18">
        <v>121</v>
      </c>
      <c r="O200" s="20">
        <f t="shared" si="30"/>
        <v>150</v>
      </c>
      <c r="P200" s="1">
        <f t="shared" si="31"/>
        <v>960</v>
      </c>
      <c r="Q200">
        <f t="shared" si="32"/>
        <v>780</v>
      </c>
      <c r="R200">
        <f t="shared" si="33"/>
        <v>609</v>
      </c>
      <c r="S200">
        <f t="shared" si="34"/>
        <v>308.88</v>
      </c>
      <c r="T200">
        <f t="shared" si="35"/>
        <v>260.56800000000004</v>
      </c>
      <c r="U200" s="21">
        <f t="shared" si="36"/>
        <v>0.78076923076923077</v>
      </c>
      <c r="V200" s="21">
        <f t="shared" si="37"/>
        <v>0.84358974358974359</v>
      </c>
      <c r="W200" s="21">
        <f t="shared" si="38"/>
        <v>0.50719211822660093</v>
      </c>
      <c r="X200">
        <f t="shared" si="39"/>
        <v>0.33406153846153847</v>
      </c>
    </row>
    <row r="201" spans="1:24" x14ac:dyDescent="0.3">
      <c r="A201" s="2">
        <v>200</v>
      </c>
      <c r="B201" s="2" t="s">
        <v>4</v>
      </c>
      <c r="C201" s="2">
        <f>Usinage!C201-Usinage!D201-Usinage!E201</f>
        <v>904</v>
      </c>
      <c r="D201" s="15">
        <v>50</v>
      </c>
      <c r="E201" s="15">
        <v>152</v>
      </c>
      <c r="G201" s="18">
        <v>44</v>
      </c>
      <c r="H201" s="19">
        <v>6</v>
      </c>
      <c r="I201" s="18">
        <v>53</v>
      </c>
      <c r="J201" s="19">
        <v>22</v>
      </c>
      <c r="L201" s="18">
        <v>113</v>
      </c>
      <c r="N201" s="19">
        <v>7</v>
      </c>
      <c r="O201" s="20">
        <f t="shared" si="30"/>
        <v>150</v>
      </c>
      <c r="P201" s="1">
        <f t="shared" si="31"/>
        <v>960</v>
      </c>
      <c r="Q201">
        <f t="shared" si="32"/>
        <v>775</v>
      </c>
      <c r="R201">
        <f t="shared" si="33"/>
        <v>565</v>
      </c>
      <c r="S201">
        <f t="shared" si="34"/>
        <v>238.65600000000001</v>
      </c>
      <c r="T201">
        <f t="shared" si="35"/>
        <v>185.328</v>
      </c>
      <c r="U201" s="21">
        <f t="shared" si="36"/>
        <v>0.7290322580645161</v>
      </c>
      <c r="V201" s="21">
        <f t="shared" si="37"/>
        <v>0.77654867256637172</v>
      </c>
      <c r="W201" s="21">
        <f t="shared" si="38"/>
        <v>0.4224</v>
      </c>
      <c r="X201">
        <f t="shared" si="39"/>
        <v>0.23913290322580646</v>
      </c>
    </row>
    <row r="202" spans="1:24" x14ac:dyDescent="0.3">
      <c r="A202" s="2">
        <v>201</v>
      </c>
      <c r="B202" s="2" t="s">
        <v>3</v>
      </c>
      <c r="C202" s="2">
        <f>Usinage!C202-Usinage!D202-Usinage!E202</f>
        <v>1212</v>
      </c>
      <c r="D202" s="15">
        <v>60</v>
      </c>
      <c r="E202" s="15">
        <v>186</v>
      </c>
      <c r="F202" s="18">
        <v>37</v>
      </c>
      <c r="G202" s="18">
        <v>45</v>
      </c>
      <c r="H202" s="19">
        <v>10</v>
      </c>
      <c r="I202" s="18">
        <v>39</v>
      </c>
      <c r="J202" s="19">
        <v>20</v>
      </c>
      <c r="L202" s="18">
        <v>115</v>
      </c>
      <c r="O202" s="20">
        <f t="shared" si="30"/>
        <v>150</v>
      </c>
      <c r="P202" s="1">
        <f t="shared" si="31"/>
        <v>960</v>
      </c>
      <c r="Q202">
        <f t="shared" si="32"/>
        <v>780</v>
      </c>
      <c r="R202">
        <f t="shared" si="33"/>
        <v>544</v>
      </c>
      <c r="S202">
        <f t="shared" si="34"/>
        <v>319.96800000000002</v>
      </c>
      <c r="T202">
        <f t="shared" si="35"/>
        <v>255.024</v>
      </c>
      <c r="U202" s="21">
        <f t="shared" si="36"/>
        <v>0.6974358974358974</v>
      </c>
      <c r="V202" s="21">
        <f t="shared" si="37"/>
        <v>0.79702970297029707</v>
      </c>
      <c r="W202" s="21">
        <f t="shared" si="38"/>
        <v>0.5881764705882353</v>
      </c>
      <c r="X202">
        <f t="shared" si="39"/>
        <v>0.32695384615384615</v>
      </c>
    </row>
    <row r="203" spans="1:24" x14ac:dyDescent="0.3">
      <c r="A203" s="2">
        <v>202</v>
      </c>
      <c r="B203" s="2" t="s">
        <v>5</v>
      </c>
      <c r="C203" s="2">
        <f>Usinage!C203-Usinage!D203-Usinage!E203</f>
        <v>997</v>
      </c>
      <c r="D203" s="15">
        <v>47</v>
      </c>
      <c r="E203" s="15">
        <v>165</v>
      </c>
      <c r="G203" s="18">
        <v>32</v>
      </c>
      <c r="H203" s="19">
        <v>7</v>
      </c>
      <c r="I203" s="18">
        <v>46</v>
      </c>
      <c r="J203" s="19">
        <v>23</v>
      </c>
      <c r="L203" s="18">
        <v>142</v>
      </c>
      <c r="N203" s="19">
        <v>6</v>
      </c>
      <c r="O203" s="20">
        <f t="shared" si="30"/>
        <v>150</v>
      </c>
      <c r="P203" s="1">
        <f t="shared" si="31"/>
        <v>960</v>
      </c>
      <c r="Q203">
        <f t="shared" si="32"/>
        <v>774</v>
      </c>
      <c r="R203">
        <f t="shared" si="33"/>
        <v>554</v>
      </c>
      <c r="S203">
        <f t="shared" si="34"/>
        <v>263.20800000000003</v>
      </c>
      <c r="T203">
        <f t="shared" si="35"/>
        <v>207.24</v>
      </c>
      <c r="U203" s="21">
        <f t="shared" si="36"/>
        <v>0.7157622739018088</v>
      </c>
      <c r="V203" s="21">
        <f t="shared" si="37"/>
        <v>0.78736208625877635</v>
      </c>
      <c r="W203" s="21">
        <f t="shared" si="38"/>
        <v>0.47510469314079429</v>
      </c>
      <c r="X203">
        <f t="shared" si="39"/>
        <v>0.26775193798449615</v>
      </c>
    </row>
    <row r="204" spans="1:24" x14ac:dyDescent="0.3">
      <c r="A204" s="2">
        <v>203</v>
      </c>
      <c r="B204" s="2" t="s">
        <v>4</v>
      </c>
      <c r="C204" s="2">
        <f>Usinage!C204-Usinage!D204-Usinage!E204</f>
        <v>1127</v>
      </c>
      <c r="D204" s="15">
        <v>44</v>
      </c>
      <c r="E204" s="15">
        <v>163</v>
      </c>
      <c r="F204" s="18">
        <v>37</v>
      </c>
      <c r="G204" s="18">
        <v>38</v>
      </c>
      <c r="H204" s="19">
        <v>9</v>
      </c>
      <c r="I204" s="18">
        <v>26</v>
      </c>
      <c r="J204" s="19">
        <v>21</v>
      </c>
      <c r="L204" s="18">
        <v>142</v>
      </c>
      <c r="O204" s="20">
        <f t="shared" si="30"/>
        <v>150</v>
      </c>
      <c r="P204" s="1">
        <f t="shared" si="31"/>
        <v>960</v>
      </c>
      <c r="Q204">
        <f t="shared" si="32"/>
        <v>780</v>
      </c>
      <c r="R204">
        <f t="shared" si="33"/>
        <v>537</v>
      </c>
      <c r="S204">
        <f t="shared" si="34"/>
        <v>297.52800000000002</v>
      </c>
      <c r="T204">
        <f t="shared" si="35"/>
        <v>242.88000000000002</v>
      </c>
      <c r="U204" s="21">
        <f t="shared" si="36"/>
        <v>0.68846153846153846</v>
      </c>
      <c r="V204" s="21">
        <f t="shared" si="37"/>
        <v>0.81632653061224492</v>
      </c>
      <c r="W204" s="21">
        <f t="shared" si="38"/>
        <v>0.55405586592178779</v>
      </c>
      <c r="X204">
        <f t="shared" si="39"/>
        <v>0.31138461538461543</v>
      </c>
    </row>
    <row r="205" spans="1:24" x14ac:dyDescent="0.3">
      <c r="A205" s="2">
        <v>204</v>
      </c>
      <c r="B205" s="2" t="s">
        <v>3</v>
      </c>
      <c r="C205" s="2">
        <f>Usinage!C205-Usinage!D205-Usinage!E205</f>
        <v>1104</v>
      </c>
      <c r="D205" s="15">
        <v>48</v>
      </c>
      <c r="E205" s="15">
        <v>141</v>
      </c>
      <c r="G205" s="18">
        <v>24</v>
      </c>
      <c r="H205" s="19">
        <v>7</v>
      </c>
      <c r="I205" s="18">
        <v>56</v>
      </c>
      <c r="J205" s="19">
        <v>25</v>
      </c>
      <c r="L205" s="18">
        <v>111</v>
      </c>
      <c r="O205" s="20">
        <f t="shared" si="30"/>
        <v>150</v>
      </c>
      <c r="P205" s="1">
        <f t="shared" si="31"/>
        <v>960</v>
      </c>
      <c r="Q205">
        <f t="shared" si="32"/>
        <v>778</v>
      </c>
      <c r="R205">
        <f t="shared" si="33"/>
        <v>587</v>
      </c>
      <c r="S205">
        <f t="shared" si="34"/>
        <v>291.45600000000002</v>
      </c>
      <c r="T205">
        <f t="shared" si="35"/>
        <v>241.56</v>
      </c>
      <c r="U205" s="21">
        <f t="shared" si="36"/>
        <v>0.75449871465295626</v>
      </c>
      <c r="V205" s="21">
        <f t="shared" si="37"/>
        <v>0.82880434782608692</v>
      </c>
      <c r="W205" s="21">
        <f t="shared" si="38"/>
        <v>0.49651788756388421</v>
      </c>
      <c r="X205">
        <f t="shared" si="39"/>
        <v>0.31048843187660669</v>
      </c>
    </row>
    <row r="206" spans="1:24" x14ac:dyDescent="0.3">
      <c r="A206" s="2">
        <v>205</v>
      </c>
      <c r="B206" s="2" t="s">
        <v>5</v>
      </c>
      <c r="C206" s="2">
        <f>Usinage!C206-Usinage!D206-Usinage!E206</f>
        <v>1082</v>
      </c>
      <c r="D206" s="15">
        <v>54</v>
      </c>
      <c r="E206" s="15">
        <v>177</v>
      </c>
      <c r="G206" s="18">
        <v>42</v>
      </c>
      <c r="H206" s="19">
        <v>8</v>
      </c>
      <c r="I206" s="18">
        <v>57</v>
      </c>
      <c r="J206" s="19">
        <v>22</v>
      </c>
      <c r="L206" s="18">
        <v>109</v>
      </c>
      <c r="N206" s="19">
        <v>7</v>
      </c>
      <c r="O206" s="20">
        <f t="shared" si="30"/>
        <v>150</v>
      </c>
      <c r="P206" s="1">
        <f t="shared" si="31"/>
        <v>960</v>
      </c>
      <c r="Q206">
        <f t="shared" si="32"/>
        <v>773</v>
      </c>
      <c r="R206">
        <f t="shared" si="33"/>
        <v>565</v>
      </c>
      <c r="S206">
        <f t="shared" si="34"/>
        <v>285.64800000000002</v>
      </c>
      <c r="T206">
        <f t="shared" si="35"/>
        <v>224.66400000000002</v>
      </c>
      <c r="U206" s="21">
        <f t="shared" si="36"/>
        <v>0.73091849935316944</v>
      </c>
      <c r="V206" s="21">
        <f t="shared" si="37"/>
        <v>0.78650646950092418</v>
      </c>
      <c r="W206" s="21">
        <f t="shared" si="38"/>
        <v>0.50557168141592923</v>
      </c>
      <c r="X206">
        <f t="shared" si="39"/>
        <v>0.29063906856403621</v>
      </c>
    </row>
    <row r="207" spans="1:24" x14ac:dyDescent="0.3">
      <c r="A207" s="2">
        <v>206</v>
      </c>
      <c r="B207" s="2" t="s">
        <v>5</v>
      </c>
      <c r="C207" s="2">
        <f>Usinage!C207-Usinage!D207-Usinage!E207</f>
        <v>1004</v>
      </c>
      <c r="D207" s="15">
        <v>56</v>
      </c>
      <c r="E207" s="15">
        <v>141</v>
      </c>
      <c r="F207" s="18">
        <v>44</v>
      </c>
      <c r="G207" s="18">
        <v>25</v>
      </c>
      <c r="H207" s="19">
        <v>5</v>
      </c>
      <c r="I207" s="18">
        <v>46</v>
      </c>
      <c r="J207" s="19">
        <v>23</v>
      </c>
      <c r="L207" s="18">
        <v>121</v>
      </c>
      <c r="O207" s="20">
        <f t="shared" si="30"/>
        <v>150</v>
      </c>
      <c r="P207" s="1">
        <f t="shared" si="31"/>
        <v>960</v>
      </c>
      <c r="Q207">
        <f t="shared" si="32"/>
        <v>782</v>
      </c>
      <c r="R207">
        <f t="shared" si="33"/>
        <v>546</v>
      </c>
      <c r="S207">
        <f t="shared" si="34"/>
        <v>265.05600000000004</v>
      </c>
      <c r="T207">
        <f t="shared" si="35"/>
        <v>213.048</v>
      </c>
      <c r="U207" s="21">
        <f t="shared" si="36"/>
        <v>0.69820971867007675</v>
      </c>
      <c r="V207" s="21">
        <f t="shared" si="37"/>
        <v>0.80378486055776888</v>
      </c>
      <c r="W207" s="21">
        <f t="shared" si="38"/>
        <v>0.48545054945054955</v>
      </c>
      <c r="X207">
        <f t="shared" si="39"/>
        <v>0.27243989769820981</v>
      </c>
    </row>
    <row r="208" spans="1:24" x14ac:dyDescent="0.3">
      <c r="A208" s="2">
        <v>207</v>
      </c>
      <c r="B208" s="2" t="s">
        <v>4</v>
      </c>
      <c r="C208" s="2">
        <f>Usinage!C208-Usinage!D208-Usinage!E208</f>
        <v>1037</v>
      </c>
      <c r="D208" s="15">
        <v>54</v>
      </c>
      <c r="E208" s="15">
        <v>144</v>
      </c>
      <c r="G208" s="18">
        <v>34</v>
      </c>
      <c r="H208" s="19">
        <v>10</v>
      </c>
      <c r="I208" s="18">
        <v>49</v>
      </c>
      <c r="J208" s="19">
        <v>23</v>
      </c>
      <c r="L208" s="18">
        <v>125</v>
      </c>
      <c r="O208" s="20">
        <f t="shared" si="30"/>
        <v>150</v>
      </c>
      <c r="P208" s="1">
        <f t="shared" si="31"/>
        <v>960</v>
      </c>
      <c r="Q208">
        <f t="shared" si="32"/>
        <v>777</v>
      </c>
      <c r="R208">
        <f t="shared" si="33"/>
        <v>569</v>
      </c>
      <c r="S208">
        <f t="shared" si="34"/>
        <v>273.76800000000003</v>
      </c>
      <c r="T208">
        <f t="shared" si="35"/>
        <v>221.49600000000001</v>
      </c>
      <c r="U208" s="21">
        <f t="shared" si="36"/>
        <v>0.73230373230373236</v>
      </c>
      <c r="V208" s="21">
        <f t="shared" si="37"/>
        <v>0.80906460945033754</v>
      </c>
      <c r="W208" s="21">
        <f t="shared" si="38"/>
        <v>0.48113884007029883</v>
      </c>
      <c r="X208">
        <f t="shared" si="39"/>
        <v>0.28506563706563715</v>
      </c>
    </row>
    <row r="209" spans="1:24" x14ac:dyDescent="0.3">
      <c r="A209" s="2">
        <v>208</v>
      </c>
      <c r="B209" s="2" t="s">
        <v>3</v>
      </c>
      <c r="C209" s="2">
        <f>Usinage!C209-Usinage!D209-Usinage!E209</f>
        <v>774</v>
      </c>
      <c r="D209" s="15">
        <v>57</v>
      </c>
      <c r="E209" s="15">
        <v>168</v>
      </c>
      <c r="G209" s="18">
        <v>40</v>
      </c>
      <c r="H209" s="19">
        <v>7</v>
      </c>
      <c r="I209" s="18">
        <v>40</v>
      </c>
      <c r="J209" s="19">
        <v>24</v>
      </c>
      <c r="L209" s="18">
        <v>110</v>
      </c>
      <c r="N209" s="19">
        <v>9</v>
      </c>
      <c r="O209" s="20">
        <f t="shared" si="30"/>
        <v>150</v>
      </c>
      <c r="P209" s="1">
        <f t="shared" si="31"/>
        <v>960</v>
      </c>
      <c r="Q209">
        <f t="shared" si="32"/>
        <v>770</v>
      </c>
      <c r="R209">
        <f t="shared" si="33"/>
        <v>580</v>
      </c>
      <c r="S209">
        <f t="shared" si="34"/>
        <v>204.33600000000001</v>
      </c>
      <c r="T209">
        <f t="shared" si="35"/>
        <v>144.93600000000001</v>
      </c>
      <c r="U209" s="21">
        <f t="shared" si="36"/>
        <v>0.75324675324675328</v>
      </c>
      <c r="V209" s="21">
        <f t="shared" si="37"/>
        <v>0.70930232558139539</v>
      </c>
      <c r="W209" s="21">
        <f t="shared" si="38"/>
        <v>0.35230344827586207</v>
      </c>
      <c r="X209">
        <f t="shared" si="39"/>
        <v>0.18822857142857144</v>
      </c>
    </row>
    <row r="210" spans="1:24" x14ac:dyDescent="0.3">
      <c r="A210" s="2">
        <v>209</v>
      </c>
      <c r="B210" s="2" t="s">
        <v>2</v>
      </c>
      <c r="C210" s="2">
        <f>Usinage!C210-Usinage!D210-Usinage!E210</f>
        <v>996</v>
      </c>
      <c r="D210" s="15">
        <v>50</v>
      </c>
      <c r="E210" s="15">
        <v>183</v>
      </c>
      <c r="F210" s="18">
        <v>30</v>
      </c>
      <c r="G210" s="18">
        <v>43</v>
      </c>
      <c r="H210" s="19">
        <v>8</v>
      </c>
      <c r="I210" s="18">
        <v>53</v>
      </c>
      <c r="J210" s="19">
        <v>21</v>
      </c>
      <c r="L210" s="18">
        <v>112</v>
      </c>
      <c r="O210" s="20">
        <f t="shared" si="30"/>
        <v>150</v>
      </c>
      <c r="P210" s="1">
        <f t="shared" si="31"/>
        <v>960</v>
      </c>
      <c r="Q210">
        <f t="shared" si="32"/>
        <v>781</v>
      </c>
      <c r="R210">
        <f t="shared" si="33"/>
        <v>543</v>
      </c>
      <c r="S210">
        <f t="shared" si="34"/>
        <v>262.94400000000002</v>
      </c>
      <c r="T210">
        <f t="shared" si="35"/>
        <v>201.43200000000002</v>
      </c>
      <c r="U210" s="21">
        <f t="shared" si="36"/>
        <v>0.69526248399487833</v>
      </c>
      <c r="V210" s="21">
        <f t="shared" si="37"/>
        <v>0.76606425702811243</v>
      </c>
      <c r="W210" s="21">
        <f t="shared" si="38"/>
        <v>0.48424309392265197</v>
      </c>
      <c r="X210">
        <f t="shared" si="39"/>
        <v>0.25791549295774646</v>
      </c>
    </row>
    <row r="211" spans="1:24" x14ac:dyDescent="0.3">
      <c r="A211" s="2">
        <v>210</v>
      </c>
      <c r="B211" s="2" t="s">
        <v>4</v>
      </c>
      <c r="C211" s="2">
        <f>Usinage!C211-Usinage!D211-Usinage!E211</f>
        <v>962</v>
      </c>
      <c r="D211" s="15">
        <v>49</v>
      </c>
      <c r="E211" s="15">
        <v>167</v>
      </c>
      <c r="F211" s="18">
        <v>39</v>
      </c>
      <c r="G211" s="18">
        <v>19</v>
      </c>
      <c r="H211" s="19">
        <v>7</v>
      </c>
      <c r="I211" s="18">
        <v>42</v>
      </c>
      <c r="J211" s="19">
        <v>20</v>
      </c>
      <c r="L211" s="18">
        <v>112</v>
      </c>
      <c r="N211" s="19">
        <v>10</v>
      </c>
      <c r="O211" s="20">
        <f t="shared" si="30"/>
        <v>150</v>
      </c>
      <c r="P211" s="1">
        <f t="shared" si="31"/>
        <v>960</v>
      </c>
      <c r="Q211">
        <f t="shared" si="32"/>
        <v>773</v>
      </c>
      <c r="R211">
        <f t="shared" si="33"/>
        <v>561</v>
      </c>
      <c r="S211">
        <f t="shared" si="34"/>
        <v>253.96800000000002</v>
      </c>
      <c r="T211">
        <f t="shared" si="35"/>
        <v>196.94400000000002</v>
      </c>
      <c r="U211" s="21">
        <f t="shared" si="36"/>
        <v>0.7257438551099612</v>
      </c>
      <c r="V211" s="21">
        <f t="shared" si="37"/>
        <v>0.77546777546777546</v>
      </c>
      <c r="W211" s="21">
        <f t="shared" si="38"/>
        <v>0.45270588235294124</v>
      </c>
      <c r="X211">
        <f t="shared" si="39"/>
        <v>0.25477878395860287</v>
      </c>
    </row>
    <row r="212" spans="1:24" x14ac:dyDescent="0.3">
      <c r="A212" s="2">
        <v>211</v>
      </c>
      <c r="B212" s="2" t="s">
        <v>3</v>
      </c>
      <c r="C212" s="2">
        <f>Usinage!C212-Usinage!D212-Usinage!E212</f>
        <v>1119</v>
      </c>
      <c r="D212" s="15">
        <v>57</v>
      </c>
      <c r="E212" s="15">
        <v>201</v>
      </c>
      <c r="G212" s="18">
        <v>27</v>
      </c>
      <c r="H212" s="19">
        <v>9</v>
      </c>
      <c r="I212" s="18">
        <v>24</v>
      </c>
      <c r="J212" s="19">
        <v>21</v>
      </c>
      <c r="L212" s="18">
        <v>99</v>
      </c>
      <c r="O212" s="20">
        <f t="shared" si="30"/>
        <v>150</v>
      </c>
      <c r="P212" s="1">
        <f t="shared" si="31"/>
        <v>960</v>
      </c>
      <c r="Q212">
        <f t="shared" si="32"/>
        <v>780</v>
      </c>
      <c r="R212">
        <f t="shared" si="33"/>
        <v>630</v>
      </c>
      <c r="S212">
        <f t="shared" si="34"/>
        <v>295.416</v>
      </c>
      <c r="T212">
        <f t="shared" si="35"/>
        <v>227.304</v>
      </c>
      <c r="U212" s="21">
        <f t="shared" si="36"/>
        <v>0.80769230769230771</v>
      </c>
      <c r="V212" s="21">
        <f t="shared" si="37"/>
        <v>0.76943699731903481</v>
      </c>
      <c r="W212" s="21">
        <f t="shared" si="38"/>
        <v>0.46891428571428573</v>
      </c>
      <c r="X212">
        <f t="shared" si="39"/>
        <v>0.29141538461538463</v>
      </c>
    </row>
    <row r="213" spans="1:24" x14ac:dyDescent="0.3">
      <c r="A213" s="2">
        <v>212</v>
      </c>
      <c r="B213" s="2" t="s">
        <v>3</v>
      </c>
      <c r="C213" s="2">
        <f>Usinage!C213-Usinage!D213-Usinage!E213</f>
        <v>978</v>
      </c>
      <c r="D213" s="15">
        <v>60</v>
      </c>
      <c r="E213" s="15">
        <v>186</v>
      </c>
      <c r="F213" s="18">
        <v>33</v>
      </c>
      <c r="G213" s="18">
        <v>37</v>
      </c>
      <c r="H213" s="19">
        <v>5</v>
      </c>
      <c r="I213" s="18">
        <v>42</v>
      </c>
      <c r="J213" s="19">
        <v>21</v>
      </c>
      <c r="L213" s="18">
        <v>95</v>
      </c>
      <c r="O213" s="20">
        <f t="shared" si="30"/>
        <v>150</v>
      </c>
      <c r="P213" s="1">
        <f t="shared" si="31"/>
        <v>960</v>
      </c>
      <c r="Q213">
        <f t="shared" si="32"/>
        <v>784</v>
      </c>
      <c r="R213">
        <f t="shared" si="33"/>
        <v>577</v>
      </c>
      <c r="S213">
        <f t="shared" si="34"/>
        <v>258.19200000000001</v>
      </c>
      <c r="T213">
        <f t="shared" si="35"/>
        <v>193.24800000000002</v>
      </c>
      <c r="U213" s="21">
        <f t="shared" si="36"/>
        <v>0.73596938775510201</v>
      </c>
      <c r="V213" s="21">
        <f t="shared" si="37"/>
        <v>0.74846625766871167</v>
      </c>
      <c r="W213" s="21">
        <f t="shared" si="38"/>
        <v>0.44747313691507801</v>
      </c>
      <c r="X213">
        <f t="shared" si="39"/>
        <v>0.24648979591836734</v>
      </c>
    </row>
    <row r="214" spans="1:24" x14ac:dyDescent="0.3">
      <c r="A214" s="2">
        <v>213</v>
      </c>
      <c r="B214" s="2" t="s">
        <v>5</v>
      </c>
      <c r="C214" s="2">
        <f>Usinage!C214-Usinage!D214-Usinage!E214</f>
        <v>965</v>
      </c>
      <c r="D214" s="15">
        <v>60</v>
      </c>
      <c r="E214" s="15">
        <v>154</v>
      </c>
      <c r="F214" s="18">
        <v>39</v>
      </c>
      <c r="G214" s="18">
        <v>26</v>
      </c>
      <c r="H214" s="19">
        <v>8</v>
      </c>
      <c r="I214" s="18">
        <v>24</v>
      </c>
      <c r="J214" s="19">
        <v>25</v>
      </c>
      <c r="L214" s="18">
        <v>126</v>
      </c>
      <c r="N214" s="19">
        <v>8</v>
      </c>
      <c r="O214" s="20">
        <f t="shared" si="30"/>
        <v>150</v>
      </c>
      <c r="P214" s="1">
        <f t="shared" si="31"/>
        <v>960</v>
      </c>
      <c r="Q214">
        <f t="shared" si="32"/>
        <v>769</v>
      </c>
      <c r="R214">
        <f t="shared" si="33"/>
        <v>554</v>
      </c>
      <c r="S214">
        <f t="shared" si="34"/>
        <v>254.76000000000002</v>
      </c>
      <c r="T214">
        <f t="shared" si="35"/>
        <v>198.26400000000001</v>
      </c>
      <c r="U214" s="21">
        <f t="shared" si="36"/>
        <v>0.72041612483745121</v>
      </c>
      <c r="V214" s="21">
        <f t="shared" si="37"/>
        <v>0.77823834196891195</v>
      </c>
      <c r="W214" s="21">
        <f t="shared" si="38"/>
        <v>0.4598555956678701</v>
      </c>
      <c r="X214">
        <f t="shared" si="39"/>
        <v>0.2578205461638492</v>
      </c>
    </row>
    <row r="215" spans="1:24" x14ac:dyDescent="0.3">
      <c r="A215" s="2">
        <v>214</v>
      </c>
      <c r="B215" s="2" t="s">
        <v>4</v>
      </c>
      <c r="C215" s="2">
        <f>Usinage!C215-Usinage!D215-Usinage!E215</f>
        <v>985</v>
      </c>
      <c r="D215" s="15">
        <v>50</v>
      </c>
      <c r="E215" s="15">
        <v>138</v>
      </c>
      <c r="F215" s="18">
        <v>45</v>
      </c>
      <c r="G215" s="18">
        <v>42</v>
      </c>
      <c r="H215" s="19">
        <v>10</v>
      </c>
      <c r="I215" s="18">
        <v>23</v>
      </c>
      <c r="J215" s="19">
        <v>21</v>
      </c>
      <c r="L215" s="18">
        <v>126</v>
      </c>
      <c r="O215" s="20">
        <f t="shared" si="30"/>
        <v>150</v>
      </c>
      <c r="P215" s="1">
        <f t="shared" si="31"/>
        <v>960</v>
      </c>
      <c r="Q215">
        <f t="shared" si="32"/>
        <v>779</v>
      </c>
      <c r="R215">
        <f t="shared" si="33"/>
        <v>543</v>
      </c>
      <c r="S215">
        <f t="shared" si="34"/>
        <v>260.04000000000002</v>
      </c>
      <c r="T215">
        <f t="shared" si="35"/>
        <v>210.40800000000002</v>
      </c>
      <c r="U215" s="21">
        <f t="shared" si="36"/>
        <v>0.69704749679075739</v>
      </c>
      <c r="V215" s="21">
        <f t="shared" si="37"/>
        <v>0.80913705583756346</v>
      </c>
      <c r="W215" s="21">
        <f t="shared" si="38"/>
        <v>0.47889502762430941</v>
      </c>
      <c r="X215">
        <f t="shared" si="39"/>
        <v>0.27010012836970476</v>
      </c>
    </row>
    <row r="216" spans="1:24" x14ac:dyDescent="0.3">
      <c r="A216" s="2">
        <v>215</v>
      </c>
      <c r="B216" s="2" t="s">
        <v>3</v>
      </c>
      <c r="C216" s="2">
        <f>Usinage!C216-Usinage!D216-Usinage!E216</f>
        <v>1078</v>
      </c>
      <c r="D216" s="15">
        <v>43</v>
      </c>
      <c r="E216" s="15">
        <v>174</v>
      </c>
      <c r="F216" s="18">
        <v>47</v>
      </c>
      <c r="G216" s="18">
        <v>29</v>
      </c>
      <c r="H216" s="19">
        <v>5</v>
      </c>
      <c r="I216" s="18">
        <v>64</v>
      </c>
      <c r="J216" s="19">
        <v>25</v>
      </c>
      <c r="L216" s="18">
        <v>105</v>
      </c>
      <c r="N216" s="19">
        <v>6</v>
      </c>
      <c r="O216" s="20">
        <f t="shared" si="30"/>
        <v>150</v>
      </c>
      <c r="P216" s="1">
        <f t="shared" si="31"/>
        <v>960</v>
      </c>
      <c r="Q216">
        <f t="shared" si="32"/>
        <v>774</v>
      </c>
      <c r="R216">
        <f t="shared" si="33"/>
        <v>529</v>
      </c>
      <c r="S216">
        <f t="shared" si="34"/>
        <v>284.59200000000004</v>
      </c>
      <c r="T216">
        <f t="shared" si="35"/>
        <v>227.304</v>
      </c>
      <c r="U216" s="21">
        <f t="shared" si="36"/>
        <v>0.68346253229974163</v>
      </c>
      <c r="V216" s="21">
        <f t="shared" si="37"/>
        <v>0.79870129870129869</v>
      </c>
      <c r="W216" s="21">
        <f t="shared" si="38"/>
        <v>0.5379810964083177</v>
      </c>
      <c r="X216">
        <f t="shared" si="39"/>
        <v>0.29367441860465121</v>
      </c>
    </row>
    <row r="217" spans="1:24" x14ac:dyDescent="0.3">
      <c r="A217" s="2">
        <v>216</v>
      </c>
      <c r="B217" s="2" t="s">
        <v>2</v>
      </c>
      <c r="C217" s="2">
        <f>Usinage!C217-Usinage!D217-Usinage!E217</f>
        <v>924</v>
      </c>
      <c r="D217" s="15">
        <v>55</v>
      </c>
      <c r="E217" s="15">
        <v>174</v>
      </c>
      <c r="F217" s="18">
        <v>48</v>
      </c>
      <c r="G217" s="18">
        <v>33</v>
      </c>
      <c r="H217" s="19">
        <v>7</v>
      </c>
      <c r="I217" s="18">
        <v>58</v>
      </c>
      <c r="J217" s="19">
        <v>20</v>
      </c>
      <c r="L217" s="18">
        <v>115</v>
      </c>
      <c r="O217" s="20">
        <f t="shared" si="30"/>
        <v>150</v>
      </c>
      <c r="P217" s="1">
        <f t="shared" si="31"/>
        <v>960</v>
      </c>
      <c r="Q217">
        <f t="shared" si="32"/>
        <v>783</v>
      </c>
      <c r="R217">
        <f t="shared" si="33"/>
        <v>529</v>
      </c>
      <c r="S217">
        <f t="shared" si="34"/>
        <v>243.93600000000001</v>
      </c>
      <c r="T217">
        <f t="shared" si="35"/>
        <v>183.48000000000002</v>
      </c>
      <c r="U217" s="21">
        <f t="shared" si="36"/>
        <v>0.67560664112388247</v>
      </c>
      <c r="V217" s="21">
        <f t="shared" si="37"/>
        <v>0.75216450216450215</v>
      </c>
      <c r="W217" s="21">
        <f t="shared" si="38"/>
        <v>0.46112665406427222</v>
      </c>
      <c r="X217">
        <f t="shared" si="39"/>
        <v>0.23432950191570878</v>
      </c>
    </row>
    <row r="218" spans="1:24" x14ac:dyDescent="0.3">
      <c r="A218" s="2">
        <v>217</v>
      </c>
      <c r="B218" s="2" t="s">
        <v>4</v>
      </c>
      <c r="C218" s="2">
        <f>Usinage!C218-Usinage!D218-Usinage!E218</f>
        <v>840</v>
      </c>
      <c r="D218" s="15">
        <v>54</v>
      </c>
      <c r="E218" s="15">
        <v>164</v>
      </c>
      <c r="G218" s="18">
        <v>34</v>
      </c>
      <c r="H218" s="19">
        <v>5</v>
      </c>
      <c r="I218" s="18">
        <v>47</v>
      </c>
      <c r="J218" s="19">
        <v>25</v>
      </c>
      <c r="L218" s="18">
        <v>112</v>
      </c>
      <c r="N218" s="19">
        <v>5</v>
      </c>
      <c r="O218" s="20">
        <f t="shared" si="30"/>
        <v>150</v>
      </c>
      <c r="P218" s="1">
        <f t="shared" si="31"/>
        <v>960</v>
      </c>
      <c r="Q218">
        <f t="shared" si="32"/>
        <v>775</v>
      </c>
      <c r="R218">
        <f t="shared" si="33"/>
        <v>582</v>
      </c>
      <c r="S218">
        <f t="shared" si="34"/>
        <v>221.76000000000002</v>
      </c>
      <c r="T218">
        <f t="shared" si="35"/>
        <v>164.208</v>
      </c>
      <c r="U218" s="21">
        <f t="shared" si="36"/>
        <v>0.75096774193548388</v>
      </c>
      <c r="V218" s="21">
        <f t="shared" si="37"/>
        <v>0.74047619047619051</v>
      </c>
      <c r="W218" s="21">
        <f t="shared" si="38"/>
        <v>0.3810309278350516</v>
      </c>
      <c r="X218">
        <f t="shared" si="39"/>
        <v>0.21188129032258068</v>
      </c>
    </row>
    <row r="219" spans="1:24" x14ac:dyDescent="0.3">
      <c r="A219" s="2">
        <v>218</v>
      </c>
      <c r="B219" s="2" t="s">
        <v>3</v>
      </c>
      <c r="C219" s="2">
        <f>Usinage!C219-Usinage!D219-Usinage!E219</f>
        <v>1110</v>
      </c>
      <c r="D219" s="15">
        <v>47</v>
      </c>
      <c r="E219" s="15">
        <v>193</v>
      </c>
      <c r="F219" s="18">
        <v>36</v>
      </c>
      <c r="G219" s="18">
        <v>43</v>
      </c>
      <c r="H219" s="19">
        <v>5</v>
      </c>
      <c r="I219" s="18">
        <v>59</v>
      </c>
      <c r="J219" s="19">
        <v>23</v>
      </c>
      <c r="L219" s="18">
        <v>109</v>
      </c>
      <c r="O219" s="20">
        <f t="shared" si="30"/>
        <v>150</v>
      </c>
      <c r="P219" s="1">
        <f t="shared" si="31"/>
        <v>960</v>
      </c>
      <c r="Q219">
        <f t="shared" si="32"/>
        <v>782</v>
      </c>
      <c r="R219">
        <f t="shared" si="33"/>
        <v>535</v>
      </c>
      <c r="S219">
        <f t="shared" si="34"/>
        <v>293.04000000000002</v>
      </c>
      <c r="T219">
        <f t="shared" si="35"/>
        <v>229.68</v>
      </c>
      <c r="U219" s="21">
        <f t="shared" si="36"/>
        <v>0.68414322250639381</v>
      </c>
      <c r="V219" s="21">
        <f t="shared" si="37"/>
        <v>0.78378378378378377</v>
      </c>
      <c r="W219" s="21">
        <f t="shared" si="38"/>
        <v>0.54773831775700943</v>
      </c>
      <c r="X219">
        <f t="shared" si="39"/>
        <v>0.29370843989769824</v>
      </c>
    </row>
    <row r="220" spans="1:24" x14ac:dyDescent="0.3">
      <c r="A220" s="2">
        <v>219</v>
      </c>
      <c r="B220" s="2" t="s">
        <v>5</v>
      </c>
      <c r="C220" s="2">
        <f>Usinage!C220-Usinage!D220-Usinage!E220</f>
        <v>900</v>
      </c>
      <c r="D220" s="15">
        <v>56</v>
      </c>
      <c r="E220" s="15">
        <v>156</v>
      </c>
      <c r="F220" s="18">
        <v>48</v>
      </c>
      <c r="G220" s="18">
        <v>37</v>
      </c>
      <c r="H220" s="19">
        <v>9</v>
      </c>
      <c r="I220" s="18">
        <v>61</v>
      </c>
      <c r="J220" s="19">
        <v>22</v>
      </c>
      <c r="L220" s="18">
        <v>111</v>
      </c>
      <c r="N220" s="19">
        <v>6</v>
      </c>
      <c r="O220" s="20">
        <f t="shared" si="30"/>
        <v>150</v>
      </c>
      <c r="P220" s="1">
        <f t="shared" si="31"/>
        <v>960</v>
      </c>
      <c r="Q220">
        <f t="shared" si="32"/>
        <v>773</v>
      </c>
      <c r="R220">
        <f t="shared" si="33"/>
        <v>516</v>
      </c>
      <c r="S220">
        <f t="shared" si="34"/>
        <v>237.60000000000002</v>
      </c>
      <c r="T220">
        <f t="shared" si="35"/>
        <v>181.63200000000001</v>
      </c>
      <c r="U220" s="21">
        <f t="shared" si="36"/>
        <v>0.66752910737386806</v>
      </c>
      <c r="V220" s="21">
        <f t="shared" si="37"/>
        <v>0.76444444444444448</v>
      </c>
      <c r="W220" s="21">
        <f t="shared" si="38"/>
        <v>0.46046511627906983</v>
      </c>
      <c r="X220">
        <f t="shared" si="39"/>
        <v>0.23497024579560161</v>
      </c>
    </row>
    <row r="221" spans="1:24" x14ac:dyDescent="0.3">
      <c r="A221" s="2">
        <v>220</v>
      </c>
      <c r="B221" s="2" t="s">
        <v>4</v>
      </c>
      <c r="C221" s="2">
        <f>Usinage!C221-Usinage!D221-Usinage!E221</f>
        <v>966</v>
      </c>
      <c r="D221" s="15">
        <v>57</v>
      </c>
      <c r="E221" s="15">
        <v>178</v>
      </c>
      <c r="F221" s="18">
        <v>47</v>
      </c>
      <c r="G221" s="18">
        <v>45</v>
      </c>
      <c r="H221" s="19">
        <v>6</v>
      </c>
      <c r="I221" s="18">
        <v>56</v>
      </c>
      <c r="J221" s="19">
        <v>24</v>
      </c>
      <c r="L221" s="18">
        <v>97</v>
      </c>
      <c r="O221" s="20">
        <f t="shared" si="30"/>
        <v>150</v>
      </c>
      <c r="P221" s="1">
        <f t="shared" si="31"/>
        <v>960</v>
      </c>
      <c r="Q221">
        <f t="shared" si="32"/>
        <v>780</v>
      </c>
      <c r="R221">
        <f t="shared" si="33"/>
        <v>535</v>
      </c>
      <c r="S221">
        <f t="shared" si="34"/>
        <v>255.024</v>
      </c>
      <c r="T221">
        <f t="shared" si="35"/>
        <v>192.98400000000001</v>
      </c>
      <c r="U221" s="21">
        <f t="shared" si="36"/>
        <v>0.6858974358974359</v>
      </c>
      <c r="V221" s="21">
        <f t="shared" si="37"/>
        <v>0.75672877846790887</v>
      </c>
      <c r="W221" s="21">
        <f t="shared" si="38"/>
        <v>0.47668037383177569</v>
      </c>
      <c r="X221">
        <f t="shared" si="39"/>
        <v>0.24741538461538459</v>
      </c>
    </row>
    <row r="222" spans="1:24" x14ac:dyDescent="0.3">
      <c r="A222" s="2">
        <v>221</v>
      </c>
      <c r="B222" s="2" t="s">
        <v>3</v>
      </c>
      <c r="C222" s="2">
        <f>Usinage!C222-Usinage!D222-Usinage!E222</f>
        <v>1077</v>
      </c>
      <c r="D222" s="15">
        <v>43</v>
      </c>
      <c r="E222" s="15">
        <v>167</v>
      </c>
      <c r="F222" s="18">
        <v>35</v>
      </c>
      <c r="G222" s="18">
        <v>33</v>
      </c>
      <c r="H222" s="19">
        <v>5</v>
      </c>
      <c r="I222" s="18">
        <v>47</v>
      </c>
      <c r="J222" s="19">
        <v>23</v>
      </c>
      <c r="L222" s="18">
        <v>141</v>
      </c>
      <c r="O222" s="20">
        <f t="shared" si="30"/>
        <v>150</v>
      </c>
      <c r="P222" s="1">
        <f t="shared" si="31"/>
        <v>960</v>
      </c>
      <c r="Q222">
        <f t="shared" si="32"/>
        <v>782</v>
      </c>
      <c r="R222">
        <f t="shared" si="33"/>
        <v>526</v>
      </c>
      <c r="S222">
        <f t="shared" si="34"/>
        <v>284.32800000000003</v>
      </c>
      <c r="T222">
        <f t="shared" si="35"/>
        <v>228.88800000000001</v>
      </c>
      <c r="U222" s="21">
        <f t="shared" si="36"/>
        <v>0.67263427109974427</v>
      </c>
      <c r="V222" s="21">
        <f t="shared" si="37"/>
        <v>0.80501392757660162</v>
      </c>
      <c r="W222" s="21">
        <f t="shared" si="38"/>
        <v>0.5405475285171103</v>
      </c>
      <c r="X222">
        <f t="shared" si="39"/>
        <v>0.29269565217391302</v>
      </c>
    </row>
    <row r="223" spans="1:24" x14ac:dyDescent="0.3">
      <c r="A223" s="2">
        <v>222</v>
      </c>
      <c r="B223" s="2" t="s">
        <v>2</v>
      </c>
      <c r="C223" s="2">
        <f>Usinage!C223-Usinage!D223-Usinage!E223</f>
        <v>814</v>
      </c>
      <c r="D223" s="15">
        <v>60</v>
      </c>
      <c r="E223" s="15">
        <v>170</v>
      </c>
      <c r="F223" s="18">
        <v>43</v>
      </c>
      <c r="G223" s="18">
        <v>37</v>
      </c>
      <c r="H223" s="19">
        <v>8</v>
      </c>
      <c r="I223" s="18">
        <v>42</v>
      </c>
      <c r="J223" s="19">
        <v>22</v>
      </c>
      <c r="L223" s="18">
        <v>100</v>
      </c>
      <c r="O223" s="20">
        <f t="shared" si="30"/>
        <v>150</v>
      </c>
      <c r="P223" s="1">
        <f t="shared" si="31"/>
        <v>960</v>
      </c>
      <c r="Q223">
        <f t="shared" si="32"/>
        <v>780</v>
      </c>
      <c r="R223">
        <f t="shared" si="33"/>
        <v>558</v>
      </c>
      <c r="S223">
        <f t="shared" si="34"/>
        <v>214.89600000000002</v>
      </c>
      <c r="T223">
        <f t="shared" si="35"/>
        <v>154.17600000000002</v>
      </c>
      <c r="U223" s="21">
        <f t="shared" si="36"/>
        <v>0.7153846153846154</v>
      </c>
      <c r="V223" s="21">
        <f t="shared" si="37"/>
        <v>0.71744471744471749</v>
      </c>
      <c r="W223" s="21">
        <f t="shared" si="38"/>
        <v>0.38511827956989247</v>
      </c>
      <c r="X223">
        <f t="shared" si="39"/>
        <v>0.19766153846153847</v>
      </c>
    </row>
    <row r="224" spans="1:24" x14ac:dyDescent="0.3">
      <c r="A224" s="2">
        <v>223</v>
      </c>
      <c r="B224" s="2" t="s">
        <v>5</v>
      </c>
      <c r="C224" s="2">
        <f>Usinage!C224-Usinage!D224-Usinage!E224</f>
        <v>959</v>
      </c>
      <c r="D224" s="15">
        <v>53</v>
      </c>
      <c r="E224" s="15">
        <v>191</v>
      </c>
      <c r="G224" s="18">
        <v>42</v>
      </c>
      <c r="H224" s="19">
        <v>10</v>
      </c>
      <c r="I224" s="18">
        <v>60</v>
      </c>
      <c r="J224" s="19">
        <v>23</v>
      </c>
      <c r="L224" s="18">
        <v>132</v>
      </c>
      <c r="N224" s="19">
        <v>9</v>
      </c>
      <c r="O224" s="20">
        <f t="shared" si="30"/>
        <v>150</v>
      </c>
      <c r="P224" s="1">
        <f t="shared" si="31"/>
        <v>960</v>
      </c>
      <c r="Q224">
        <f t="shared" si="32"/>
        <v>768</v>
      </c>
      <c r="R224">
        <f t="shared" si="33"/>
        <v>534</v>
      </c>
      <c r="S224">
        <f t="shared" si="34"/>
        <v>253.17600000000002</v>
      </c>
      <c r="T224">
        <f t="shared" si="35"/>
        <v>188.76000000000002</v>
      </c>
      <c r="U224" s="21">
        <f t="shared" si="36"/>
        <v>0.6953125</v>
      </c>
      <c r="V224" s="21">
        <f t="shared" si="37"/>
        <v>0.74556830031282584</v>
      </c>
      <c r="W224" s="21">
        <f t="shared" si="38"/>
        <v>0.4741123595505618</v>
      </c>
      <c r="X224">
        <f t="shared" si="39"/>
        <v>0.24578125000000001</v>
      </c>
    </row>
    <row r="225" spans="1:24" x14ac:dyDescent="0.3">
      <c r="A225" s="2">
        <v>224</v>
      </c>
      <c r="B225" s="2" t="s">
        <v>2</v>
      </c>
      <c r="C225" s="2">
        <f>Usinage!C225-Usinage!D225-Usinage!E225</f>
        <v>1013</v>
      </c>
      <c r="D225" s="15">
        <v>40</v>
      </c>
      <c r="E225" s="15">
        <v>149</v>
      </c>
      <c r="F225" s="18">
        <v>37</v>
      </c>
      <c r="G225" s="18">
        <v>36</v>
      </c>
      <c r="H225" s="19">
        <v>9</v>
      </c>
      <c r="I225" s="18">
        <v>25</v>
      </c>
      <c r="J225" s="19">
        <v>23</v>
      </c>
      <c r="L225" s="18">
        <v>109</v>
      </c>
      <c r="O225" s="20">
        <f t="shared" si="30"/>
        <v>150</v>
      </c>
      <c r="P225" s="1">
        <f t="shared" si="31"/>
        <v>960</v>
      </c>
      <c r="Q225">
        <f t="shared" si="32"/>
        <v>778</v>
      </c>
      <c r="R225">
        <f t="shared" si="33"/>
        <v>571</v>
      </c>
      <c r="S225">
        <f t="shared" si="34"/>
        <v>267.43200000000002</v>
      </c>
      <c r="T225">
        <f t="shared" si="35"/>
        <v>217.536</v>
      </c>
      <c r="U225" s="21">
        <f t="shared" si="36"/>
        <v>0.73393316195372749</v>
      </c>
      <c r="V225" s="21">
        <f t="shared" si="37"/>
        <v>0.81342546890424483</v>
      </c>
      <c r="W225" s="21">
        <f t="shared" si="38"/>
        <v>0.46835726795096327</v>
      </c>
      <c r="X225">
        <f t="shared" si="39"/>
        <v>0.27960925449871465</v>
      </c>
    </row>
    <row r="226" spans="1:24" x14ac:dyDescent="0.3">
      <c r="A226" s="2">
        <v>225</v>
      </c>
      <c r="B226" s="2" t="s">
        <v>3</v>
      </c>
      <c r="C226" s="2">
        <f>Usinage!C226-Usinage!D226-Usinage!E226</f>
        <v>881</v>
      </c>
      <c r="D226" s="15">
        <v>43</v>
      </c>
      <c r="E226" s="15">
        <v>154</v>
      </c>
      <c r="F226" s="18">
        <v>34</v>
      </c>
      <c r="G226" s="18">
        <v>33</v>
      </c>
      <c r="H226" s="19">
        <v>9</v>
      </c>
      <c r="I226" s="18">
        <v>41</v>
      </c>
      <c r="J226" s="19">
        <v>23</v>
      </c>
      <c r="L226" s="18">
        <v>131</v>
      </c>
      <c r="O226" s="20">
        <f t="shared" si="30"/>
        <v>150</v>
      </c>
      <c r="P226" s="1">
        <f t="shared" si="31"/>
        <v>960</v>
      </c>
      <c r="Q226">
        <f t="shared" si="32"/>
        <v>778</v>
      </c>
      <c r="R226">
        <f t="shared" si="33"/>
        <v>539</v>
      </c>
      <c r="S226">
        <f t="shared" si="34"/>
        <v>232.584</v>
      </c>
      <c r="T226">
        <f t="shared" si="35"/>
        <v>180.57600000000002</v>
      </c>
      <c r="U226" s="21">
        <f t="shared" si="36"/>
        <v>0.69280205655526994</v>
      </c>
      <c r="V226" s="21">
        <f t="shared" si="37"/>
        <v>0.77639046538024969</v>
      </c>
      <c r="W226" s="21">
        <f t="shared" si="38"/>
        <v>0.43151020408163265</v>
      </c>
      <c r="X226">
        <f t="shared" si="39"/>
        <v>0.23210282776349614</v>
      </c>
    </row>
    <row r="227" spans="1:24" x14ac:dyDescent="0.3">
      <c r="A227" s="2">
        <v>226</v>
      </c>
      <c r="B227" s="2" t="s">
        <v>3</v>
      </c>
      <c r="C227" s="2">
        <f>Usinage!C227-Usinage!D227-Usinage!E227</f>
        <v>1054</v>
      </c>
      <c r="D227" s="15">
        <v>40</v>
      </c>
      <c r="E227" s="15">
        <v>169</v>
      </c>
      <c r="G227" s="18">
        <v>35</v>
      </c>
      <c r="H227" s="19">
        <v>9</v>
      </c>
      <c r="I227" s="18">
        <v>45</v>
      </c>
      <c r="J227" s="19">
        <v>24</v>
      </c>
      <c r="L227" s="18">
        <v>118</v>
      </c>
      <c r="N227" s="19">
        <v>7</v>
      </c>
      <c r="O227" s="20">
        <f t="shared" si="30"/>
        <v>150</v>
      </c>
      <c r="P227" s="1">
        <f t="shared" si="31"/>
        <v>960</v>
      </c>
      <c r="Q227">
        <f t="shared" si="32"/>
        <v>770</v>
      </c>
      <c r="R227">
        <f t="shared" si="33"/>
        <v>572</v>
      </c>
      <c r="S227">
        <f t="shared" si="34"/>
        <v>278.25600000000003</v>
      </c>
      <c r="T227">
        <f t="shared" si="35"/>
        <v>223.08</v>
      </c>
      <c r="U227" s="21">
        <f t="shared" si="36"/>
        <v>0.74285714285714288</v>
      </c>
      <c r="V227" s="21">
        <f t="shared" si="37"/>
        <v>0.80170777988614805</v>
      </c>
      <c r="W227" s="21">
        <f t="shared" si="38"/>
        <v>0.4864615384615385</v>
      </c>
      <c r="X227">
        <f t="shared" si="39"/>
        <v>0.28971428571428576</v>
      </c>
    </row>
    <row r="228" spans="1:24" x14ac:dyDescent="0.3">
      <c r="A228" s="2">
        <v>227</v>
      </c>
      <c r="B228" s="2" t="s">
        <v>5</v>
      </c>
      <c r="C228" s="2">
        <f>Usinage!C228-Usinage!D228-Usinage!E228</f>
        <v>928</v>
      </c>
      <c r="D228" s="15">
        <v>42</v>
      </c>
      <c r="E228" s="15">
        <v>161</v>
      </c>
      <c r="F228" s="18">
        <v>46</v>
      </c>
      <c r="G228" s="18">
        <v>43</v>
      </c>
      <c r="H228" s="19">
        <v>7</v>
      </c>
      <c r="I228" s="18">
        <v>66</v>
      </c>
      <c r="J228" s="19">
        <v>21</v>
      </c>
      <c r="L228" s="18">
        <v>116</v>
      </c>
      <c r="O228" s="20">
        <f t="shared" si="30"/>
        <v>150</v>
      </c>
      <c r="P228" s="1">
        <f t="shared" si="31"/>
        <v>960</v>
      </c>
      <c r="Q228">
        <f t="shared" si="32"/>
        <v>782</v>
      </c>
      <c r="R228">
        <f t="shared" si="33"/>
        <v>511</v>
      </c>
      <c r="S228">
        <f t="shared" si="34"/>
        <v>244.99200000000002</v>
      </c>
      <c r="T228">
        <f t="shared" si="35"/>
        <v>191.4</v>
      </c>
      <c r="U228" s="21">
        <f t="shared" si="36"/>
        <v>0.65345268542199486</v>
      </c>
      <c r="V228" s="21">
        <f t="shared" si="37"/>
        <v>0.78125</v>
      </c>
      <c r="W228" s="21">
        <f t="shared" si="38"/>
        <v>0.4794363992172212</v>
      </c>
      <c r="X228">
        <f t="shared" si="39"/>
        <v>0.24475703324808187</v>
      </c>
    </row>
    <row r="229" spans="1:24" x14ac:dyDescent="0.3">
      <c r="A229" s="2">
        <v>228</v>
      </c>
      <c r="B229" s="2" t="s">
        <v>2</v>
      </c>
      <c r="C229" s="2">
        <f>Usinage!C229-Usinage!D229-Usinage!E229</f>
        <v>978</v>
      </c>
      <c r="D229" s="15">
        <v>53</v>
      </c>
      <c r="E229" s="15">
        <v>133</v>
      </c>
      <c r="G229" s="18">
        <v>37</v>
      </c>
      <c r="H229" s="19">
        <v>6</v>
      </c>
      <c r="I229" s="18">
        <v>48</v>
      </c>
      <c r="J229" s="19">
        <v>23</v>
      </c>
      <c r="L229" s="18">
        <v>102</v>
      </c>
      <c r="O229" s="20">
        <f t="shared" si="30"/>
        <v>150</v>
      </c>
      <c r="P229" s="1">
        <f t="shared" si="31"/>
        <v>960</v>
      </c>
      <c r="Q229">
        <f t="shared" si="32"/>
        <v>781</v>
      </c>
      <c r="R229">
        <f t="shared" si="33"/>
        <v>594</v>
      </c>
      <c r="S229">
        <f t="shared" si="34"/>
        <v>258.19200000000001</v>
      </c>
      <c r="T229">
        <f t="shared" si="35"/>
        <v>209.08800000000002</v>
      </c>
      <c r="U229" s="21">
        <f t="shared" si="36"/>
        <v>0.76056338028169013</v>
      </c>
      <c r="V229" s="21">
        <f t="shared" si="37"/>
        <v>0.80981595092024539</v>
      </c>
      <c r="W229" s="21">
        <f t="shared" si="38"/>
        <v>0.4346666666666667</v>
      </c>
      <c r="X229">
        <f t="shared" si="39"/>
        <v>0.26771830985915496</v>
      </c>
    </row>
    <row r="230" spans="1:24" x14ac:dyDescent="0.3">
      <c r="A230" s="2">
        <v>229</v>
      </c>
      <c r="B230" s="2" t="s">
        <v>4</v>
      </c>
      <c r="C230" s="2">
        <f>Usinage!C230-Usinage!D230-Usinage!E230</f>
        <v>959</v>
      </c>
      <c r="D230" s="15">
        <v>48</v>
      </c>
      <c r="E230" s="15">
        <v>156</v>
      </c>
      <c r="G230" s="18">
        <v>44</v>
      </c>
      <c r="H230" s="19">
        <v>6</v>
      </c>
      <c r="I230" s="18">
        <v>38</v>
      </c>
      <c r="J230" s="19">
        <v>24</v>
      </c>
      <c r="L230" s="18">
        <v>131</v>
      </c>
      <c r="N230" s="19">
        <v>10</v>
      </c>
      <c r="O230" s="20">
        <f t="shared" si="30"/>
        <v>150</v>
      </c>
      <c r="P230" s="1">
        <f t="shared" si="31"/>
        <v>960</v>
      </c>
      <c r="Q230">
        <f t="shared" si="32"/>
        <v>770</v>
      </c>
      <c r="R230">
        <f t="shared" si="33"/>
        <v>557</v>
      </c>
      <c r="S230">
        <f t="shared" si="34"/>
        <v>253.17600000000002</v>
      </c>
      <c r="T230">
        <f t="shared" si="35"/>
        <v>199.32000000000002</v>
      </c>
      <c r="U230" s="21">
        <f t="shared" si="36"/>
        <v>0.72337662337662334</v>
      </c>
      <c r="V230" s="21">
        <f t="shared" si="37"/>
        <v>0.78727841501564133</v>
      </c>
      <c r="W230" s="21">
        <f t="shared" si="38"/>
        <v>0.45453500897666071</v>
      </c>
      <c r="X230">
        <f t="shared" si="39"/>
        <v>0.25885714285714284</v>
      </c>
    </row>
    <row r="231" spans="1:24" x14ac:dyDescent="0.3">
      <c r="A231" s="2">
        <v>230</v>
      </c>
      <c r="B231" s="2" t="s">
        <v>3</v>
      </c>
      <c r="C231" s="2">
        <f>Usinage!C231-Usinage!D231-Usinage!E231</f>
        <v>955</v>
      </c>
      <c r="D231" s="15">
        <v>58</v>
      </c>
      <c r="E231" s="15">
        <v>182</v>
      </c>
      <c r="G231" s="18">
        <v>37</v>
      </c>
      <c r="H231" s="19">
        <v>7</v>
      </c>
      <c r="I231" s="18">
        <v>66</v>
      </c>
      <c r="J231" s="19">
        <v>24</v>
      </c>
      <c r="L231" s="18">
        <v>120</v>
      </c>
      <c r="O231" s="20">
        <f t="shared" si="30"/>
        <v>150</v>
      </c>
      <c r="P231" s="1">
        <f t="shared" si="31"/>
        <v>960</v>
      </c>
      <c r="Q231">
        <f t="shared" si="32"/>
        <v>779</v>
      </c>
      <c r="R231">
        <f t="shared" si="33"/>
        <v>556</v>
      </c>
      <c r="S231">
        <f t="shared" si="34"/>
        <v>252.12</v>
      </c>
      <c r="T231">
        <f t="shared" si="35"/>
        <v>188.76000000000002</v>
      </c>
      <c r="U231" s="21">
        <f t="shared" si="36"/>
        <v>0.71373555840821568</v>
      </c>
      <c r="V231" s="21">
        <f t="shared" si="37"/>
        <v>0.74869109947643975</v>
      </c>
      <c r="W231" s="21">
        <f t="shared" si="38"/>
        <v>0.45345323741007193</v>
      </c>
      <c r="X231">
        <f t="shared" si="39"/>
        <v>0.24231065468549423</v>
      </c>
    </row>
    <row r="232" spans="1:24" x14ac:dyDescent="0.3">
      <c r="A232" s="2">
        <v>231</v>
      </c>
      <c r="B232" s="2" t="s">
        <v>3</v>
      </c>
      <c r="C232" s="2">
        <f>Usinage!C232-Usinage!D232-Usinage!E232</f>
        <v>977</v>
      </c>
      <c r="D232" s="15">
        <v>57</v>
      </c>
      <c r="E232" s="15">
        <v>190</v>
      </c>
      <c r="F232" s="18">
        <v>34</v>
      </c>
      <c r="G232" s="18">
        <v>38</v>
      </c>
      <c r="H232" s="19">
        <v>10</v>
      </c>
      <c r="I232" s="18">
        <v>29</v>
      </c>
      <c r="J232" s="19">
        <v>25</v>
      </c>
      <c r="L232" s="18">
        <v>98</v>
      </c>
      <c r="N232" s="19">
        <v>7</v>
      </c>
      <c r="O232" s="20">
        <f t="shared" si="30"/>
        <v>150</v>
      </c>
      <c r="P232" s="1">
        <f t="shared" si="31"/>
        <v>960</v>
      </c>
      <c r="Q232">
        <f t="shared" si="32"/>
        <v>768</v>
      </c>
      <c r="R232">
        <f t="shared" si="33"/>
        <v>569</v>
      </c>
      <c r="S232">
        <f t="shared" si="34"/>
        <v>257.928</v>
      </c>
      <c r="T232">
        <f t="shared" si="35"/>
        <v>192.72</v>
      </c>
      <c r="U232" s="21">
        <f t="shared" si="36"/>
        <v>0.74088541666666663</v>
      </c>
      <c r="V232" s="21">
        <f t="shared" si="37"/>
        <v>0.74718526100307059</v>
      </c>
      <c r="W232" s="21">
        <f t="shared" si="38"/>
        <v>0.4533005272407733</v>
      </c>
      <c r="X232">
        <f t="shared" si="39"/>
        <v>0.25093749999999998</v>
      </c>
    </row>
    <row r="233" spans="1:24" x14ac:dyDescent="0.3">
      <c r="A233" s="2">
        <v>232</v>
      </c>
      <c r="B233" s="2" t="s">
        <v>3</v>
      </c>
      <c r="C233" s="2">
        <f>Usinage!C233-Usinage!D233-Usinage!E233</f>
        <v>1077</v>
      </c>
      <c r="D233" s="15">
        <v>60</v>
      </c>
      <c r="E233" s="15">
        <v>173</v>
      </c>
      <c r="G233" s="18">
        <v>44</v>
      </c>
      <c r="H233" s="19">
        <v>8</v>
      </c>
      <c r="I233" s="18">
        <v>48</v>
      </c>
      <c r="J233" s="19">
        <v>21</v>
      </c>
      <c r="L233" s="18">
        <v>109</v>
      </c>
      <c r="O233" s="20">
        <f t="shared" si="30"/>
        <v>150</v>
      </c>
      <c r="P233" s="1">
        <f t="shared" si="31"/>
        <v>960</v>
      </c>
      <c r="Q233">
        <f t="shared" si="32"/>
        <v>781</v>
      </c>
      <c r="R233">
        <f t="shared" si="33"/>
        <v>580</v>
      </c>
      <c r="S233">
        <f t="shared" si="34"/>
        <v>284.32800000000003</v>
      </c>
      <c r="T233">
        <f t="shared" si="35"/>
        <v>222.816</v>
      </c>
      <c r="U233" s="21">
        <f t="shared" si="36"/>
        <v>0.74263764404609478</v>
      </c>
      <c r="V233" s="21">
        <f t="shared" si="37"/>
        <v>0.78365831012070564</v>
      </c>
      <c r="W233" s="21">
        <f t="shared" si="38"/>
        <v>0.49022068965517246</v>
      </c>
      <c r="X233">
        <f t="shared" si="39"/>
        <v>0.28529577464788736</v>
      </c>
    </row>
    <row r="234" spans="1:24" x14ac:dyDescent="0.3">
      <c r="A234" s="2">
        <v>233</v>
      </c>
      <c r="B234" s="2" t="s">
        <v>2</v>
      </c>
      <c r="C234" s="2">
        <f>Usinage!C234-Usinage!D234-Usinage!E234</f>
        <v>891</v>
      </c>
      <c r="D234" s="15">
        <v>51</v>
      </c>
      <c r="E234" s="15">
        <v>167</v>
      </c>
      <c r="F234" s="18">
        <v>45</v>
      </c>
      <c r="G234" s="18">
        <v>41</v>
      </c>
      <c r="H234" s="19">
        <v>9</v>
      </c>
      <c r="I234" s="18">
        <v>49</v>
      </c>
      <c r="J234" s="19">
        <v>24</v>
      </c>
      <c r="L234" s="18">
        <v>105</v>
      </c>
      <c r="N234" s="19">
        <v>6</v>
      </c>
      <c r="O234" s="20">
        <f t="shared" si="30"/>
        <v>150</v>
      </c>
      <c r="P234" s="1">
        <f t="shared" si="31"/>
        <v>960</v>
      </c>
      <c r="Q234">
        <f t="shared" si="32"/>
        <v>771</v>
      </c>
      <c r="R234">
        <f t="shared" si="33"/>
        <v>531</v>
      </c>
      <c r="S234">
        <f t="shared" si="34"/>
        <v>235.22400000000002</v>
      </c>
      <c r="T234">
        <f t="shared" si="35"/>
        <v>177.672</v>
      </c>
      <c r="U234" s="21">
        <f t="shared" si="36"/>
        <v>0.68871595330739299</v>
      </c>
      <c r="V234" s="21">
        <f t="shared" si="37"/>
        <v>0.755331088664422</v>
      </c>
      <c r="W234" s="21">
        <f t="shared" si="38"/>
        <v>0.44298305084745765</v>
      </c>
      <c r="X234">
        <f t="shared" si="39"/>
        <v>0.23044357976653698</v>
      </c>
    </row>
    <row r="235" spans="1:24" x14ac:dyDescent="0.3">
      <c r="A235" s="2">
        <v>234</v>
      </c>
      <c r="B235" s="2" t="s">
        <v>4</v>
      </c>
      <c r="C235" s="2">
        <f>Usinage!C235-Usinage!D235-Usinage!E235</f>
        <v>780</v>
      </c>
      <c r="D235" s="15">
        <v>41</v>
      </c>
      <c r="E235" s="15">
        <v>186</v>
      </c>
      <c r="G235" s="18">
        <v>35</v>
      </c>
      <c r="H235" s="19">
        <v>10</v>
      </c>
      <c r="I235" s="18">
        <v>71</v>
      </c>
      <c r="J235" s="19">
        <v>20</v>
      </c>
      <c r="L235" s="18">
        <v>123</v>
      </c>
      <c r="O235" s="20">
        <f t="shared" si="30"/>
        <v>150</v>
      </c>
      <c r="P235" s="1">
        <f t="shared" si="31"/>
        <v>960</v>
      </c>
      <c r="Q235">
        <f t="shared" si="32"/>
        <v>780</v>
      </c>
      <c r="R235">
        <f t="shared" si="33"/>
        <v>551</v>
      </c>
      <c r="S235">
        <f t="shared" si="34"/>
        <v>205.92000000000002</v>
      </c>
      <c r="T235">
        <f t="shared" si="35"/>
        <v>145.99200000000002</v>
      </c>
      <c r="U235" s="21">
        <f t="shared" si="36"/>
        <v>0.70641025641025645</v>
      </c>
      <c r="V235" s="21">
        <f t="shared" si="37"/>
        <v>0.70897435897435901</v>
      </c>
      <c r="W235" s="21">
        <f t="shared" si="38"/>
        <v>0.37372050816696917</v>
      </c>
      <c r="X235">
        <f t="shared" si="39"/>
        <v>0.18716923076923081</v>
      </c>
    </row>
    <row r="236" spans="1:24" x14ac:dyDescent="0.3">
      <c r="A236" s="2">
        <v>235</v>
      </c>
      <c r="B236" s="2" t="s">
        <v>3</v>
      </c>
      <c r="C236" s="2">
        <f>Usinage!C236-Usinage!D236-Usinage!E236</f>
        <v>958</v>
      </c>
      <c r="D236" s="15">
        <v>51</v>
      </c>
      <c r="E236" s="15">
        <v>176</v>
      </c>
      <c r="F236" s="18">
        <v>43</v>
      </c>
      <c r="G236" s="18">
        <v>33</v>
      </c>
      <c r="H236" s="19">
        <v>8</v>
      </c>
      <c r="I236" s="18">
        <v>51</v>
      </c>
      <c r="J236" s="19">
        <v>23</v>
      </c>
      <c r="L236" s="18">
        <v>135</v>
      </c>
      <c r="O236" s="20">
        <f t="shared" si="30"/>
        <v>150</v>
      </c>
      <c r="P236" s="1">
        <f t="shared" si="31"/>
        <v>960</v>
      </c>
      <c r="Q236">
        <f t="shared" si="32"/>
        <v>779</v>
      </c>
      <c r="R236">
        <f t="shared" si="33"/>
        <v>517</v>
      </c>
      <c r="S236">
        <f t="shared" si="34"/>
        <v>252.91200000000001</v>
      </c>
      <c r="T236">
        <f t="shared" si="35"/>
        <v>192.98400000000001</v>
      </c>
      <c r="U236" s="21">
        <f t="shared" si="36"/>
        <v>0.66367137355584083</v>
      </c>
      <c r="V236" s="21">
        <f t="shared" si="37"/>
        <v>0.76304801670146138</v>
      </c>
      <c r="W236" s="21">
        <f t="shared" si="38"/>
        <v>0.48919148936170215</v>
      </c>
      <c r="X236">
        <f t="shared" si="39"/>
        <v>0.24773299101412069</v>
      </c>
    </row>
    <row r="237" spans="1:24" x14ac:dyDescent="0.3">
      <c r="A237" s="2">
        <v>236</v>
      </c>
      <c r="B237" s="2" t="s">
        <v>5</v>
      </c>
      <c r="C237" s="2">
        <f>Usinage!C237-Usinage!D237-Usinage!E237</f>
        <v>932</v>
      </c>
      <c r="D237" s="15">
        <v>47</v>
      </c>
      <c r="E237" s="15">
        <v>160</v>
      </c>
      <c r="G237" s="18">
        <v>25</v>
      </c>
      <c r="H237" s="19">
        <v>5</v>
      </c>
      <c r="I237" s="18">
        <v>24</v>
      </c>
      <c r="J237" s="19">
        <v>23</v>
      </c>
      <c r="L237" s="18">
        <v>139</v>
      </c>
      <c r="N237" s="19">
        <v>9</v>
      </c>
      <c r="O237" s="20">
        <f t="shared" si="30"/>
        <v>150</v>
      </c>
      <c r="P237" s="1">
        <f t="shared" si="31"/>
        <v>960</v>
      </c>
      <c r="Q237">
        <f t="shared" si="32"/>
        <v>773</v>
      </c>
      <c r="R237">
        <f t="shared" si="33"/>
        <v>585</v>
      </c>
      <c r="S237">
        <f t="shared" si="34"/>
        <v>246.048</v>
      </c>
      <c r="T237">
        <f t="shared" si="35"/>
        <v>191.4</v>
      </c>
      <c r="U237" s="21">
        <f t="shared" si="36"/>
        <v>0.75679172056921085</v>
      </c>
      <c r="V237" s="21">
        <f t="shared" si="37"/>
        <v>0.77789699570815452</v>
      </c>
      <c r="W237" s="21">
        <f t="shared" si="38"/>
        <v>0.42059487179487182</v>
      </c>
      <c r="X237">
        <f t="shared" si="39"/>
        <v>0.24760672703751616</v>
      </c>
    </row>
    <row r="238" spans="1:24" x14ac:dyDescent="0.3">
      <c r="A238" s="2">
        <v>237</v>
      </c>
      <c r="B238" s="2" t="s">
        <v>4</v>
      </c>
      <c r="C238" s="2">
        <f>Usinage!C238-Usinage!D238-Usinage!E238</f>
        <v>866</v>
      </c>
      <c r="D238" s="15">
        <v>59</v>
      </c>
      <c r="E238" s="15">
        <v>162</v>
      </c>
      <c r="G238" s="18">
        <v>47</v>
      </c>
      <c r="H238" s="19">
        <v>8</v>
      </c>
      <c r="I238" s="18">
        <v>30</v>
      </c>
      <c r="J238" s="19">
        <v>23</v>
      </c>
      <c r="L238" s="18">
        <v>131</v>
      </c>
      <c r="O238" s="20">
        <f t="shared" si="30"/>
        <v>150</v>
      </c>
      <c r="P238" s="1">
        <f t="shared" si="31"/>
        <v>960</v>
      </c>
      <c r="Q238">
        <f t="shared" si="32"/>
        <v>779</v>
      </c>
      <c r="R238">
        <f t="shared" si="33"/>
        <v>571</v>
      </c>
      <c r="S238">
        <f t="shared" si="34"/>
        <v>228.62400000000002</v>
      </c>
      <c r="T238">
        <f t="shared" si="35"/>
        <v>170.28</v>
      </c>
      <c r="U238" s="21">
        <f t="shared" si="36"/>
        <v>0.73299101412066747</v>
      </c>
      <c r="V238" s="21">
        <f t="shared" si="37"/>
        <v>0.74480369515011546</v>
      </c>
      <c r="W238" s="21">
        <f t="shared" si="38"/>
        <v>0.40039229422066552</v>
      </c>
      <c r="X238">
        <f t="shared" si="39"/>
        <v>0.21858793324775352</v>
      </c>
    </row>
    <row r="239" spans="1:24" x14ac:dyDescent="0.3">
      <c r="A239" s="2">
        <v>238</v>
      </c>
      <c r="B239" s="2" t="s">
        <v>3</v>
      </c>
      <c r="C239" s="2">
        <f>Usinage!C239-Usinage!D239-Usinage!E239</f>
        <v>846</v>
      </c>
      <c r="D239" s="15">
        <v>54</v>
      </c>
      <c r="E239" s="15">
        <v>156</v>
      </c>
      <c r="G239" s="18">
        <v>39</v>
      </c>
      <c r="H239" s="19">
        <v>6</v>
      </c>
      <c r="I239" s="18">
        <v>38</v>
      </c>
      <c r="J239" s="19">
        <v>21</v>
      </c>
      <c r="L239" s="18">
        <v>106</v>
      </c>
      <c r="O239" s="20">
        <f t="shared" si="30"/>
        <v>150</v>
      </c>
      <c r="P239" s="1">
        <f t="shared" si="31"/>
        <v>960</v>
      </c>
      <c r="Q239">
        <f t="shared" si="32"/>
        <v>783</v>
      </c>
      <c r="R239">
        <f t="shared" si="33"/>
        <v>600</v>
      </c>
      <c r="S239">
        <f t="shared" si="34"/>
        <v>223.34400000000002</v>
      </c>
      <c r="T239">
        <f t="shared" si="35"/>
        <v>167.904</v>
      </c>
      <c r="U239" s="21">
        <f t="shared" si="36"/>
        <v>0.76628352490421459</v>
      </c>
      <c r="V239" s="21">
        <f t="shared" si="37"/>
        <v>0.75177304964539005</v>
      </c>
      <c r="W239" s="21">
        <f t="shared" si="38"/>
        <v>0.37224000000000002</v>
      </c>
      <c r="X239">
        <f t="shared" si="39"/>
        <v>0.21443678160919541</v>
      </c>
    </row>
    <row r="240" spans="1:24" x14ac:dyDescent="0.3">
      <c r="A240" s="2">
        <v>239</v>
      </c>
      <c r="B240" s="2" t="s">
        <v>2</v>
      </c>
      <c r="C240" s="2">
        <f>Usinage!C240-Usinage!D240-Usinage!E240</f>
        <v>900</v>
      </c>
      <c r="D240" s="15">
        <v>45</v>
      </c>
      <c r="E240" s="15">
        <v>192</v>
      </c>
      <c r="F240" s="18">
        <v>37</v>
      </c>
      <c r="G240" s="18">
        <v>51</v>
      </c>
      <c r="H240" s="19">
        <v>9</v>
      </c>
      <c r="I240" s="18">
        <v>29</v>
      </c>
      <c r="J240" s="19">
        <v>25</v>
      </c>
      <c r="L240" s="18">
        <v>97</v>
      </c>
      <c r="N240" s="19">
        <v>5</v>
      </c>
      <c r="O240" s="20">
        <f t="shared" si="30"/>
        <v>150</v>
      </c>
      <c r="P240" s="1">
        <f t="shared" si="31"/>
        <v>960</v>
      </c>
      <c r="Q240">
        <f t="shared" si="32"/>
        <v>771</v>
      </c>
      <c r="R240">
        <f t="shared" si="33"/>
        <v>557</v>
      </c>
      <c r="S240">
        <f t="shared" si="34"/>
        <v>237.60000000000002</v>
      </c>
      <c r="T240">
        <f t="shared" si="35"/>
        <v>175.03200000000001</v>
      </c>
      <c r="U240" s="21">
        <f t="shared" si="36"/>
        <v>0.72243839169909208</v>
      </c>
      <c r="V240" s="21">
        <f t="shared" si="37"/>
        <v>0.73666666666666669</v>
      </c>
      <c r="W240" s="21">
        <f t="shared" si="38"/>
        <v>0.42657091561938965</v>
      </c>
      <c r="X240">
        <f t="shared" si="39"/>
        <v>0.22701945525291833</v>
      </c>
    </row>
    <row r="241" spans="1:24" x14ac:dyDescent="0.3">
      <c r="A241" s="2">
        <v>240</v>
      </c>
      <c r="B241" s="2" t="s">
        <v>3</v>
      </c>
      <c r="C241" s="2">
        <f>Usinage!C241-Usinage!D241-Usinage!E241</f>
        <v>756</v>
      </c>
      <c r="D241" s="15">
        <v>58</v>
      </c>
      <c r="E241" s="15">
        <v>189</v>
      </c>
      <c r="F241" s="18">
        <v>32</v>
      </c>
      <c r="G241" s="18">
        <v>39</v>
      </c>
      <c r="H241" s="19">
        <v>8</v>
      </c>
      <c r="I241" s="18">
        <v>36</v>
      </c>
      <c r="J241" s="19">
        <v>23</v>
      </c>
      <c r="L241" s="18">
        <v>99</v>
      </c>
      <c r="O241" s="20">
        <f t="shared" si="30"/>
        <v>150</v>
      </c>
      <c r="P241" s="1">
        <f t="shared" si="31"/>
        <v>960</v>
      </c>
      <c r="Q241">
        <f t="shared" si="32"/>
        <v>779</v>
      </c>
      <c r="R241">
        <f t="shared" si="33"/>
        <v>573</v>
      </c>
      <c r="S241">
        <f t="shared" si="34"/>
        <v>199.584</v>
      </c>
      <c r="T241">
        <f t="shared" si="35"/>
        <v>134.376</v>
      </c>
      <c r="U241" s="21">
        <f t="shared" si="36"/>
        <v>0.7355584082156611</v>
      </c>
      <c r="V241" s="21">
        <f t="shared" si="37"/>
        <v>0.67328042328042326</v>
      </c>
      <c r="W241" s="21">
        <f t="shared" si="38"/>
        <v>0.34831413612565448</v>
      </c>
      <c r="X241">
        <f t="shared" si="39"/>
        <v>0.17249807445442875</v>
      </c>
    </row>
    <row r="242" spans="1:24" x14ac:dyDescent="0.3">
      <c r="A242" s="2">
        <v>241</v>
      </c>
      <c r="B242" s="2" t="s">
        <v>3</v>
      </c>
      <c r="C242" s="2">
        <f>Usinage!C242-Usinage!D242-Usinage!E242</f>
        <v>897</v>
      </c>
      <c r="D242" s="15">
        <v>56</v>
      </c>
      <c r="E242" s="15">
        <v>194</v>
      </c>
      <c r="G242" s="18">
        <v>27</v>
      </c>
      <c r="H242" s="19">
        <v>9</v>
      </c>
      <c r="I242" s="18">
        <v>70</v>
      </c>
      <c r="J242" s="19">
        <v>20</v>
      </c>
      <c r="L242" s="18">
        <v>101</v>
      </c>
      <c r="N242" s="19">
        <v>6</v>
      </c>
      <c r="O242" s="20">
        <f t="shared" si="30"/>
        <v>150</v>
      </c>
      <c r="P242" s="1">
        <f t="shared" si="31"/>
        <v>960</v>
      </c>
      <c r="Q242">
        <f t="shared" si="32"/>
        <v>775</v>
      </c>
      <c r="R242">
        <f t="shared" si="33"/>
        <v>577</v>
      </c>
      <c r="S242">
        <f t="shared" si="34"/>
        <v>236.80800000000002</v>
      </c>
      <c r="T242">
        <f t="shared" si="35"/>
        <v>170.80800000000002</v>
      </c>
      <c r="U242" s="21">
        <f t="shared" si="36"/>
        <v>0.74451612903225806</v>
      </c>
      <c r="V242" s="21">
        <f t="shared" si="37"/>
        <v>0.72129319955406912</v>
      </c>
      <c r="W242" s="21">
        <f t="shared" si="38"/>
        <v>0.41041247833622185</v>
      </c>
      <c r="X242">
        <f t="shared" si="39"/>
        <v>0.22039741935483873</v>
      </c>
    </row>
    <row r="243" spans="1:24" x14ac:dyDescent="0.3">
      <c r="A243" s="2">
        <v>242</v>
      </c>
      <c r="B243" s="2" t="s">
        <v>5</v>
      </c>
      <c r="C243" s="2">
        <f>Usinage!C243-Usinage!D243-Usinage!E243</f>
        <v>910</v>
      </c>
      <c r="D243" s="15">
        <v>41</v>
      </c>
      <c r="E243" s="15">
        <v>184</v>
      </c>
      <c r="F243" s="18">
        <v>37</v>
      </c>
      <c r="G243" s="18">
        <v>43</v>
      </c>
      <c r="H243" s="19">
        <v>7</v>
      </c>
      <c r="I243" s="18">
        <v>41</v>
      </c>
      <c r="J243" s="19">
        <v>22</v>
      </c>
      <c r="L243" s="18">
        <v>118</v>
      </c>
      <c r="O243" s="20">
        <f t="shared" si="30"/>
        <v>150</v>
      </c>
      <c r="P243" s="1">
        <f t="shared" si="31"/>
        <v>960</v>
      </c>
      <c r="Q243">
        <f t="shared" si="32"/>
        <v>781</v>
      </c>
      <c r="R243">
        <f t="shared" si="33"/>
        <v>542</v>
      </c>
      <c r="S243">
        <f t="shared" si="34"/>
        <v>240.24</v>
      </c>
      <c r="T243">
        <f t="shared" si="35"/>
        <v>180.84</v>
      </c>
      <c r="U243" s="21">
        <f t="shared" si="36"/>
        <v>0.69398207426376446</v>
      </c>
      <c r="V243" s="21">
        <f t="shared" si="37"/>
        <v>0.75274725274725274</v>
      </c>
      <c r="W243" s="21">
        <f t="shared" si="38"/>
        <v>0.44324723247232473</v>
      </c>
      <c r="X243">
        <f t="shared" si="39"/>
        <v>0.23154929577464789</v>
      </c>
    </row>
    <row r="244" spans="1:24" x14ac:dyDescent="0.3">
      <c r="A244" s="2">
        <v>243</v>
      </c>
      <c r="B244" s="2" t="s">
        <v>2</v>
      </c>
      <c r="C244" s="2">
        <f>Usinage!C244-Usinage!D244-Usinage!E244</f>
        <v>993</v>
      </c>
      <c r="D244" s="15">
        <v>48</v>
      </c>
      <c r="E244" s="15">
        <v>181</v>
      </c>
      <c r="G244" s="18">
        <v>38</v>
      </c>
      <c r="H244" s="19">
        <v>10</v>
      </c>
      <c r="I244" s="18">
        <v>37</v>
      </c>
      <c r="J244" s="19">
        <v>21</v>
      </c>
      <c r="L244" s="18">
        <v>114</v>
      </c>
      <c r="N244" s="19">
        <v>6</v>
      </c>
      <c r="O244" s="20">
        <f t="shared" si="30"/>
        <v>150</v>
      </c>
      <c r="P244" s="1">
        <f t="shared" si="31"/>
        <v>960</v>
      </c>
      <c r="Q244">
        <f t="shared" si="32"/>
        <v>773</v>
      </c>
      <c r="R244">
        <f t="shared" si="33"/>
        <v>584</v>
      </c>
      <c r="S244">
        <f t="shared" si="34"/>
        <v>262.15199999999999</v>
      </c>
      <c r="T244">
        <f t="shared" si="35"/>
        <v>201.696</v>
      </c>
      <c r="U244" s="21">
        <f t="shared" si="36"/>
        <v>0.75549805950840876</v>
      </c>
      <c r="V244" s="21">
        <f t="shared" si="37"/>
        <v>0.76938569989929506</v>
      </c>
      <c r="W244" s="21">
        <f t="shared" si="38"/>
        <v>0.44889041095890408</v>
      </c>
      <c r="X244">
        <f t="shared" si="39"/>
        <v>0.26092626131953428</v>
      </c>
    </row>
    <row r="245" spans="1:24" x14ac:dyDescent="0.3">
      <c r="A245" s="2">
        <v>244</v>
      </c>
      <c r="B245" s="2" t="s">
        <v>3</v>
      </c>
      <c r="C245" s="2">
        <f>Usinage!C245-Usinage!D245-Usinage!E245</f>
        <v>1016</v>
      </c>
      <c r="D245" s="15">
        <v>57</v>
      </c>
      <c r="E245" s="15">
        <v>151</v>
      </c>
      <c r="F245" s="18">
        <v>41</v>
      </c>
      <c r="G245" s="18">
        <v>37</v>
      </c>
      <c r="H245" s="19">
        <v>7</v>
      </c>
      <c r="I245" s="18">
        <v>35</v>
      </c>
      <c r="J245" s="19">
        <v>25</v>
      </c>
      <c r="L245" s="18">
        <v>113</v>
      </c>
      <c r="O245" s="20">
        <f t="shared" si="30"/>
        <v>150</v>
      </c>
      <c r="P245" s="1">
        <f t="shared" si="31"/>
        <v>960</v>
      </c>
      <c r="Q245">
        <f t="shared" si="32"/>
        <v>778</v>
      </c>
      <c r="R245">
        <f t="shared" si="33"/>
        <v>552</v>
      </c>
      <c r="S245">
        <f t="shared" si="34"/>
        <v>268.22399999999999</v>
      </c>
      <c r="T245">
        <f t="shared" si="35"/>
        <v>213.31200000000001</v>
      </c>
      <c r="U245" s="21">
        <f t="shared" si="36"/>
        <v>0.70951156812339333</v>
      </c>
      <c r="V245" s="21">
        <f t="shared" si="37"/>
        <v>0.79527559055118113</v>
      </c>
      <c r="W245" s="21">
        <f t="shared" si="38"/>
        <v>0.48591304347826086</v>
      </c>
      <c r="X245">
        <f t="shared" si="39"/>
        <v>0.27417994858611822</v>
      </c>
    </row>
    <row r="246" spans="1:24" x14ac:dyDescent="0.3">
      <c r="A246" s="2">
        <v>245</v>
      </c>
      <c r="B246" s="2" t="s">
        <v>4</v>
      </c>
      <c r="C246" s="2">
        <f>Usinage!C246-Usinage!D246-Usinage!E246</f>
        <v>1043</v>
      </c>
      <c r="D246" s="15">
        <v>44</v>
      </c>
      <c r="E246" s="15">
        <v>181</v>
      </c>
      <c r="F246" s="18">
        <v>48</v>
      </c>
      <c r="G246" s="18">
        <v>45</v>
      </c>
      <c r="H246" s="19">
        <v>7</v>
      </c>
      <c r="I246" s="18">
        <v>57</v>
      </c>
      <c r="J246" s="19">
        <v>21</v>
      </c>
      <c r="L246" s="18">
        <v>107</v>
      </c>
      <c r="O246" s="20">
        <f t="shared" si="30"/>
        <v>150</v>
      </c>
      <c r="P246" s="1">
        <f t="shared" si="31"/>
        <v>960</v>
      </c>
      <c r="Q246">
        <f t="shared" si="32"/>
        <v>782</v>
      </c>
      <c r="R246">
        <f t="shared" si="33"/>
        <v>525</v>
      </c>
      <c r="S246">
        <f t="shared" si="34"/>
        <v>275.35200000000003</v>
      </c>
      <c r="T246">
        <f t="shared" si="35"/>
        <v>215.952</v>
      </c>
      <c r="U246" s="21">
        <f t="shared" si="36"/>
        <v>0.67135549872122757</v>
      </c>
      <c r="V246" s="21">
        <f t="shared" si="37"/>
        <v>0.78427612655800572</v>
      </c>
      <c r="W246" s="21">
        <f t="shared" si="38"/>
        <v>0.52448000000000006</v>
      </c>
      <c r="X246">
        <f t="shared" si="39"/>
        <v>0.27615345268542196</v>
      </c>
    </row>
    <row r="247" spans="1:24" x14ac:dyDescent="0.3">
      <c r="A247" s="2">
        <v>246</v>
      </c>
      <c r="B247" s="2" t="s">
        <v>3</v>
      </c>
      <c r="C247" s="2">
        <f>Usinage!C247-Usinage!D247-Usinage!E247</f>
        <v>874</v>
      </c>
      <c r="D247" s="15">
        <v>55</v>
      </c>
      <c r="E247" s="15">
        <v>157</v>
      </c>
      <c r="F247" s="18">
        <v>35</v>
      </c>
      <c r="G247" s="18">
        <v>26</v>
      </c>
      <c r="H247" s="19">
        <v>10</v>
      </c>
      <c r="I247" s="18">
        <v>70</v>
      </c>
      <c r="J247" s="19">
        <v>22</v>
      </c>
      <c r="L247" s="18">
        <v>95</v>
      </c>
      <c r="N247" s="19">
        <v>8</v>
      </c>
      <c r="O247" s="20">
        <f t="shared" si="30"/>
        <v>150</v>
      </c>
      <c r="P247" s="1">
        <f t="shared" si="31"/>
        <v>960</v>
      </c>
      <c r="Q247">
        <f t="shared" si="32"/>
        <v>770</v>
      </c>
      <c r="R247">
        <f t="shared" si="33"/>
        <v>544</v>
      </c>
      <c r="S247">
        <f t="shared" si="34"/>
        <v>230.73600000000002</v>
      </c>
      <c r="T247">
        <f t="shared" si="35"/>
        <v>174.768</v>
      </c>
      <c r="U247" s="21">
        <f t="shared" si="36"/>
        <v>0.70649350649350651</v>
      </c>
      <c r="V247" s="21">
        <f t="shared" si="37"/>
        <v>0.75743707093821511</v>
      </c>
      <c r="W247" s="21">
        <f t="shared" si="38"/>
        <v>0.42414705882352943</v>
      </c>
      <c r="X247">
        <f t="shared" si="39"/>
        <v>0.22697142857142857</v>
      </c>
    </row>
    <row r="248" spans="1:24" x14ac:dyDescent="0.3">
      <c r="A248" s="2">
        <v>247</v>
      </c>
      <c r="B248" s="2" t="s">
        <v>5</v>
      </c>
      <c r="C248" s="2">
        <f>Usinage!C248-Usinage!D248-Usinage!E248</f>
        <v>991</v>
      </c>
      <c r="D248" s="15">
        <v>42</v>
      </c>
      <c r="E248" s="15">
        <v>181</v>
      </c>
      <c r="G248" s="18">
        <v>30</v>
      </c>
      <c r="H248" s="19">
        <v>10</v>
      </c>
      <c r="I248" s="18">
        <v>29</v>
      </c>
      <c r="J248" s="19">
        <v>23</v>
      </c>
      <c r="L248" s="18">
        <v>122</v>
      </c>
      <c r="O248" s="20">
        <f t="shared" si="30"/>
        <v>150</v>
      </c>
      <c r="P248" s="1">
        <f t="shared" si="31"/>
        <v>960</v>
      </c>
      <c r="Q248">
        <f t="shared" si="32"/>
        <v>777</v>
      </c>
      <c r="R248">
        <f t="shared" si="33"/>
        <v>596</v>
      </c>
      <c r="S248">
        <f t="shared" si="34"/>
        <v>261.62400000000002</v>
      </c>
      <c r="T248">
        <f t="shared" si="35"/>
        <v>202.75200000000001</v>
      </c>
      <c r="U248" s="21">
        <f t="shared" si="36"/>
        <v>0.76705276705276704</v>
      </c>
      <c r="V248" s="21">
        <f t="shared" si="37"/>
        <v>0.77497477295660944</v>
      </c>
      <c r="W248" s="21">
        <f t="shared" si="38"/>
        <v>0.43896644295302018</v>
      </c>
      <c r="X248">
        <f t="shared" si="39"/>
        <v>0.26094208494208493</v>
      </c>
    </row>
    <row r="249" spans="1:24" x14ac:dyDescent="0.3">
      <c r="A249" s="2">
        <v>248</v>
      </c>
      <c r="B249" s="2" t="s">
        <v>3</v>
      </c>
      <c r="C249" s="2">
        <f>Usinage!C249-Usinage!D249-Usinage!E249</f>
        <v>1012</v>
      </c>
      <c r="D249" s="15">
        <v>54</v>
      </c>
      <c r="E249" s="15">
        <v>155</v>
      </c>
      <c r="G249" s="18">
        <v>45</v>
      </c>
      <c r="H249" s="19">
        <v>8</v>
      </c>
      <c r="I249" s="18">
        <v>41</v>
      </c>
      <c r="J249" s="19">
        <v>22</v>
      </c>
      <c r="L249" s="18">
        <v>114</v>
      </c>
      <c r="N249" s="19">
        <v>5</v>
      </c>
      <c r="O249" s="20">
        <f t="shared" si="30"/>
        <v>150</v>
      </c>
      <c r="P249" s="1">
        <f t="shared" si="31"/>
        <v>960</v>
      </c>
      <c r="Q249">
        <f t="shared" si="32"/>
        <v>775</v>
      </c>
      <c r="R249">
        <f t="shared" si="33"/>
        <v>575</v>
      </c>
      <c r="S249">
        <f t="shared" si="34"/>
        <v>267.16800000000001</v>
      </c>
      <c r="T249">
        <f t="shared" si="35"/>
        <v>211.99200000000002</v>
      </c>
      <c r="U249" s="21">
        <f t="shared" si="36"/>
        <v>0.74193548387096775</v>
      </c>
      <c r="V249" s="21">
        <f t="shared" si="37"/>
        <v>0.79347826086956519</v>
      </c>
      <c r="W249" s="21">
        <f t="shared" si="38"/>
        <v>0.46464</v>
      </c>
      <c r="X249">
        <f t="shared" si="39"/>
        <v>0.27353806451612905</v>
      </c>
    </row>
    <row r="250" spans="1:24" x14ac:dyDescent="0.3">
      <c r="A250" s="2">
        <v>249</v>
      </c>
      <c r="B250" s="2" t="s">
        <v>5</v>
      </c>
      <c r="C250" s="2">
        <f>Usinage!C250-Usinage!D250-Usinage!E250</f>
        <v>713</v>
      </c>
      <c r="D250" s="15">
        <v>59</v>
      </c>
      <c r="E250" s="15">
        <v>154</v>
      </c>
      <c r="G250" s="18">
        <v>21</v>
      </c>
      <c r="H250" s="19">
        <v>7</v>
      </c>
      <c r="I250" s="18">
        <v>26</v>
      </c>
      <c r="J250" s="19">
        <v>20</v>
      </c>
      <c r="L250" s="18">
        <v>101</v>
      </c>
      <c r="O250" s="20">
        <f t="shared" si="30"/>
        <v>150</v>
      </c>
      <c r="P250" s="1">
        <f t="shared" si="31"/>
        <v>960</v>
      </c>
      <c r="Q250">
        <f t="shared" si="32"/>
        <v>783</v>
      </c>
      <c r="R250">
        <f t="shared" si="33"/>
        <v>635</v>
      </c>
      <c r="S250">
        <f t="shared" si="34"/>
        <v>188.232</v>
      </c>
      <c r="T250">
        <f t="shared" si="35"/>
        <v>132</v>
      </c>
      <c r="U250" s="21">
        <f t="shared" si="36"/>
        <v>0.81098339719029378</v>
      </c>
      <c r="V250" s="21">
        <f t="shared" si="37"/>
        <v>0.70126227208976155</v>
      </c>
      <c r="W250" s="21">
        <f t="shared" si="38"/>
        <v>0.29642834645669291</v>
      </c>
      <c r="X250">
        <f t="shared" si="39"/>
        <v>0.16858237547892718</v>
      </c>
    </row>
    <row r="251" spans="1:24" x14ac:dyDescent="0.3">
      <c r="A251" s="2">
        <v>250</v>
      </c>
      <c r="B251" s="2" t="s">
        <v>3</v>
      </c>
      <c r="C251" s="2">
        <f>Usinage!C251-Usinage!D251-Usinage!E251</f>
        <v>920</v>
      </c>
      <c r="D251" s="15">
        <v>49</v>
      </c>
      <c r="E251" s="15">
        <v>171</v>
      </c>
      <c r="G251" s="18">
        <v>40</v>
      </c>
      <c r="H251" s="19">
        <v>9</v>
      </c>
      <c r="I251" s="18">
        <v>40</v>
      </c>
      <c r="J251" s="19">
        <v>23</v>
      </c>
      <c r="L251" s="18">
        <v>135</v>
      </c>
      <c r="N251" s="19">
        <v>10</v>
      </c>
      <c r="O251" s="20">
        <f t="shared" si="30"/>
        <v>150</v>
      </c>
      <c r="P251" s="1">
        <f t="shared" si="31"/>
        <v>960</v>
      </c>
      <c r="Q251">
        <f t="shared" si="32"/>
        <v>768</v>
      </c>
      <c r="R251">
        <f t="shared" si="33"/>
        <v>553</v>
      </c>
      <c r="S251">
        <f t="shared" si="34"/>
        <v>242.88000000000002</v>
      </c>
      <c r="T251">
        <f t="shared" si="35"/>
        <v>184.8</v>
      </c>
      <c r="U251" s="21">
        <f t="shared" si="36"/>
        <v>0.72005208333333337</v>
      </c>
      <c r="V251" s="21">
        <f t="shared" si="37"/>
        <v>0.76086956521739135</v>
      </c>
      <c r="W251" s="21">
        <f t="shared" si="38"/>
        <v>0.43920433996383368</v>
      </c>
      <c r="X251">
        <f t="shared" si="39"/>
        <v>0.24062500000000006</v>
      </c>
    </row>
    <row r="252" spans="1:24" x14ac:dyDescent="0.3">
      <c r="O252" s="20">
        <f t="shared" ref="O252:T252" si="40">SUM(O2:O251)</f>
        <v>37500</v>
      </c>
      <c r="P252" s="12">
        <f t="shared" si="40"/>
        <v>240000</v>
      </c>
      <c r="Q252" s="12">
        <f t="shared" si="40"/>
        <v>194369</v>
      </c>
      <c r="R252" s="12">
        <f t="shared" si="40"/>
        <v>142542</v>
      </c>
      <c r="S252" s="12">
        <f t="shared" si="40"/>
        <v>86027.567999999999</v>
      </c>
      <c r="T252" s="12">
        <f t="shared" si="40"/>
        <v>71837.56799999997</v>
      </c>
      <c r="U252" s="26">
        <f>AVERAGE(U2:U251)</f>
        <v>0.73335350045611503</v>
      </c>
      <c r="V252" s="26">
        <f>AVERAGE(V2:V251)</f>
        <v>0.82717452399708435</v>
      </c>
      <c r="W252" s="26">
        <f>AVERAGE(W2:W251)</f>
        <v>0.60366378797125708</v>
      </c>
      <c r="X252" s="26">
        <f>AVERAGE(X2:X251)</f>
        <v>0.36955271206222456</v>
      </c>
    </row>
    <row r="253" spans="1:24" x14ac:dyDescent="0.3">
      <c r="V253" s="21"/>
      <c r="W253" s="21"/>
      <c r="X253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Découpe</vt:lpstr>
      <vt:lpstr>Usinage</vt:lpstr>
      <vt:lpstr>Peinture</vt:lpstr>
    </vt:vector>
  </TitlesOfParts>
  <Company>Polytechnique Montréal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</dc:creator>
  <cp:lastModifiedBy>RANIA  CHERNI</cp:lastModifiedBy>
  <dcterms:created xsi:type="dcterms:W3CDTF">2015-09-10T11:30:42Z</dcterms:created>
  <dcterms:modified xsi:type="dcterms:W3CDTF">2026-04-17T08:55:22Z</dcterms:modified>
</cp:coreProperties>
</file>